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luc\Downloads\"/>
    </mc:Choice>
  </mc:AlternateContent>
  <xr:revisionPtr revIDLastSave="0" documentId="13_ncr:1_{DB6F897F-286E-4CA5-BA2A-C1B00187D2C5}" xr6:coauthVersionLast="47" xr6:coauthVersionMax="47" xr10:uidLastSave="{00000000-0000-0000-0000-000000000000}"/>
  <bookViews>
    <workbookView xWindow="4875" yWindow="3472" windowWidth="16200" windowHeight="9308" xr2:uid="{00000000-000D-0000-FFFF-FFFF00000000}"/>
  </bookViews>
  <sheets>
    <sheet name="SUMÁRIO" sheetId="1" r:id="rId1"/>
    <sheet name="PRÉ-REQUISITOS" sheetId="2" r:id="rId2"/>
    <sheet name="Preparação" sheetId="3" r:id="rId3"/>
    <sheet name="CLI e AI" sheetId="4" r:id="rId4"/>
    <sheet name="Cópia de SEMANA 02 - CLI e AI I" sheetId="5" state="hidden" r:id="rId5"/>
    <sheet name="Pré-lançamento" sheetId="6" r:id="rId6"/>
    <sheet name="Lançamento" sheetId="7" r:id="rId7"/>
    <sheet name="Pós-Lançament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1" i="5" l="1"/>
  <c r="B10" i="5"/>
  <c r="B4" i="5" s="1"/>
  <c r="B29" i="8"/>
  <c r="B17" i="8"/>
  <c r="B3" i="8" s="1"/>
  <c r="C4" i="8"/>
  <c r="A1" i="8"/>
  <c r="B86" i="7"/>
  <c r="B79" i="7"/>
  <c r="B73" i="7"/>
  <c r="B67" i="7"/>
  <c r="B61" i="7"/>
  <c r="B49" i="7"/>
  <c r="B45" i="7"/>
  <c r="B41" i="7"/>
  <c r="B36" i="7"/>
  <c r="B24" i="7"/>
  <c r="C4" i="7"/>
  <c r="B3" i="7"/>
  <c r="A1" i="7"/>
  <c r="B202" i="6"/>
  <c r="B197" i="6"/>
  <c r="B192" i="6"/>
  <c r="E189" i="6"/>
  <c r="E184" i="6"/>
  <c r="E178" i="6"/>
  <c r="E186" i="6" s="1"/>
  <c r="B171" i="6"/>
  <c r="B166" i="6"/>
  <c r="F163" i="6"/>
  <c r="C163" i="6"/>
  <c r="B156" i="6"/>
  <c r="B151" i="6"/>
  <c r="B135" i="6"/>
  <c r="E129" i="6"/>
  <c r="E125" i="6"/>
  <c r="E132" i="6" s="1"/>
  <c r="B118" i="6"/>
  <c r="B112" i="6"/>
  <c r="B82" i="6"/>
  <c r="B75" i="6"/>
  <c r="E66" i="6"/>
  <c r="E65" i="6"/>
  <c r="E68" i="6" s="1"/>
  <c r="E64" i="6"/>
  <c r="E67" i="6" s="1"/>
  <c r="E69" i="6" s="1"/>
  <c r="E70" i="6" s="1"/>
  <c r="E55" i="6"/>
  <c r="E54" i="6"/>
  <c r="E53" i="6"/>
  <c r="E56" i="6" s="1"/>
  <c r="E57" i="6" s="1"/>
  <c r="E58" i="6" s="1"/>
  <c r="B47" i="6"/>
  <c r="B42" i="6"/>
  <c r="B3" i="6" s="1"/>
  <c r="E39" i="6"/>
  <c r="E38" i="6"/>
  <c r="E37" i="6"/>
  <c r="E36" i="6"/>
  <c r="E34" i="6"/>
  <c r="E33" i="6"/>
  <c r="B24" i="6"/>
  <c r="C4" i="6"/>
  <c r="A1" i="6"/>
  <c r="B136" i="5"/>
  <c r="B128" i="5"/>
  <c r="B117" i="5"/>
  <c r="B116" i="5"/>
  <c r="B92" i="5"/>
  <c r="B88" i="5"/>
  <c r="B44" i="5"/>
  <c r="B13" i="5"/>
  <c r="C5" i="5"/>
  <c r="A1" i="5"/>
  <c r="B387" i="4"/>
  <c r="B378" i="4"/>
  <c r="B372" i="4"/>
  <c r="B363" i="4"/>
  <c r="B357" i="4"/>
  <c r="B347" i="4"/>
  <c r="B339" i="4"/>
  <c r="B330" i="4"/>
  <c r="C327" i="4"/>
  <c r="F313" i="4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02" i="4"/>
  <c r="F303" i="4" s="1"/>
  <c r="F304" i="4" s="1"/>
  <c r="F305" i="4" s="1"/>
  <c r="F306" i="4" s="1"/>
  <c r="F307" i="4" s="1"/>
  <c r="F308" i="4" s="1"/>
  <c r="F309" i="4" s="1"/>
  <c r="B297" i="4"/>
  <c r="B290" i="4"/>
  <c r="B280" i="4"/>
  <c r="B270" i="4"/>
  <c r="B263" i="4"/>
  <c r="B253" i="4"/>
  <c r="B246" i="4"/>
  <c r="B238" i="4"/>
  <c r="B229" i="4"/>
  <c r="B216" i="4"/>
  <c r="B209" i="4"/>
  <c r="B200" i="4"/>
  <c r="B194" i="4"/>
  <c r="B184" i="4"/>
  <c r="B173" i="4"/>
  <c r="B167" i="4"/>
  <c r="B158" i="4"/>
  <c r="B151" i="4"/>
  <c r="B144" i="4"/>
  <c r="B134" i="4"/>
  <c r="B125" i="4"/>
  <c r="B118" i="4"/>
  <c r="B108" i="4"/>
  <c r="C105" i="4"/>
  <c r="B98" i="4"/>
  <c r="B91" i="4"/>
  <c r="B81" i="4"/>
  <c r="B3" i="4" s="1"/>
  <c r="B71" i="4"/>
  <c r="B64" i="4"/>
  <c r="C61" i="4"/>
  <c r="B54" i="4"/>
  <c r="B44" i="4"/>
  <c r="B43" i="4"/>
  <c r="C4" i="4"/>
  <c r="A1" i="4"/>
  <c r="C127" i="3"/>
  <c r="C126" i="3"/>
  <c r="C125" i="3"/>
  <c r="C122" i="3"/>
  <c r="C121" i="3"/>
  <c r="C120" i="3"/>
  <c r="C4" i="3"/>
  <c r="B3" i="3"/>
  <c r="A1" i="3"/>
  <c r="C125" i="2"/>
  <c r="F124" i="2"/>
  <c r="C4" i="2"/>
  <c r="B3" i="2"/>
  <c r="B62" i="1"/>
  <c r="B54" i="1"/>
  <c r="B45" i="1"/>
  <c r="B35" i="1"/>
  <c r="B28" i="1"/>
  <c r="C13" i="1"/>
  <c r="B12" i="1"/>
  <c r="E59" i="6" l="1"/>
  <c r="E60" i="6"/>
  <c r="E72" i="6"/>
  <c r="E71" i="6"/>
  <c r="F326" i="4"/>
  <c r="E179" i="6"/>
  <c r="E180" i="6" s="1"/>
  <c r="E181" i="6"/>
  <c r="E126" i="6"/>
  <c r="E130" i="6"/>
  <c r="E13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0" authorId="0" shapeId="0" xr:uid="{00000000-0006-0000-0200-000001000000}">
      <text>
        <r>
          <rPr>
            <sz val="10"/>
            <color rgb="FF000000"/>
            <rFont val="Arial"/>
            <scheme val="minor"/>
          </rPr>
          <t>*Nas definições de público toque na opção ‘Criar o seu’.
    *Definir nome do Público,  Exemplo: ‘3 Mosqueteiros’ e em seguida toque na opção ‘Localizações’ -&gt; selecione a opção referente a localização do seu avatar e clique em 'concluir'.
    *Toque na opção ‘Interesses’
    *Selecione os três principais interesses do seu avatar e em seguida clique em 'concluir'.
    *Depois selecione ‘Faixa etária e gênero’
    *Com o novo público construído selecionado, toque no botão ‘Avançar’.</t>
        </r>
      </text>
    </comment>
    <comment ref="C115" authorId="0" shapeId="0" xr:uid="{00000000-0006-0000-0200-000002000000}">
      <text>
        <r>
          <rPr>
            <sz val="10"/>
            <color rgb="FF000000"/>
            <rFont val="Arial"/>
            <scheme val="minor"/>
          </rPr>
          <t>Sempre que um grupo lotar, deve receber uma mensagem de boas vindas, avisando que o grupo só permite envio de mensagens pelos admins e um canal alternativo de contato (e-mail).
boas-vindas
grupo fechado
objetivo:notificar as aulas
alerta: pirataria
Ex: 
Bem vindo ao Grupo Exclusivo da {NOME DO LANÇAMENTO}. ☺️🙏🏻
Por aqui eu vou te mandar os links das aulas (que vão rolar {DATA E HORÁRIO DO LANÇAMENTO}, horário de Brasília) e informações importantes sobre o evento. 
Ó, não precisa silenciar esse grupo porque só eu e os outros administradores podemos mandar mensagens.
Qualquer dúvida, é só mandar um email para {SEU EMAIL DE SUPORTE}
⚠️Importante: Para sua segurança, se alguém entrar em contato com você, verifique se essa pessoa é um dos administradores do grupo antes de responder⚠️
No mais é isso, te encontro na {NOME DO LANÇAMENTO}!
#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7" authorId="0" shapeId="0" xr:uid="{00000000-0006-0000-0400-000001000000}">
      <text>
        <r>
          <rPr>
            <sz val="10"/>
            <color rgb="FF000000"/>
            <rFont val="Arial"/>
            <scheme val="minor"/>
          </rPr>
          <t>Sempre que um grupo lotar, deve receber uma mensagem de boas vindas, avisando que o grupo só permite envio de mensagens pelos admins e um canal alternativo de contato (e-mail).
boas-vindas
grupo fechado
objetivo:notificar as aulas
alerta: pirataria
Ex: 
Bem vindo ao Grupo Exclusivo da {NOME DO LANÇAMENTO}. ☺️🙏🏻
Por aqui eu vou te mandar os links das aulas (que vão rolar {DATA E HORÁRIO DO LANÇAMENTO}, horário de Brasília) e informações importantes sobre o evento. 
Ó, não precisa silenciar esse grupo porque só eu e os outros administradores podemos mandar mensagens.
Qualquer dúvida, é só mandar um email para {SEU EMAIL DE SUPORTE}
⚠️Importante: Para sua segurança, se alguém entrar em contato com você, verifique se essa pessoa é um dos administradores do grupo antes de responder⚠️
No mais é isso, te encontro na {NOME DO LANÇAMENTO}!
#</t>
        </r>
      </text>
    </comment>
  </commentList>
</comments>
</file>

<file path=xl/sharedStrings.xml><?xml version="1.0" encoding="utf-8"?>
<sst xmlns="http://schemas.openxmlformats.org/spreadsheetml/2006/main" count="1006" uniqueCount="677">
  <si>
    <t>Nome completo:</t>
  </si>
  <si>
    <t>Navegador(a):</t>
  </si>
  <si>
    <t>Nome do Produto:</t>
  </si>
  <si>
    <t>Início da Preparação:</t>
  </si>
  <si>
    <t>Data do Lançamento:</t>
  </si>
  <si>
    <t>Esta é a data da Abertura de Carrinho.</t>
  </si>
  <si>
    <t>Progresso do seu Lançamento</t>
  </si>
  <si>
    <t>VISÃO GERAL</t>
  </si>
  <si>
    <t>Pré-requisitos - tudo o que você já preparou até aqui</t>
  </si>
  <si>
    <t>✅</t>
  </si>
  <si>
    <t xml:space="preserve">Definir Nicho, Avatar e Roma </t>
  </si>
  <si>
    <t xml:space="preserve">Definir Oferta e Método </t>
  </si>
  <si>
    <t xml:space="preserve">Ter criado Redes Sociais que comunique o produto </t>
  </si>
  <si>
    <t xml:space="preserve">Frequência de Conteúdo para crescimento e nutrição de audiência </t>
  </si>
  <si>
    <t xml:space="preserve">Ter planejado os criativos </t>
  </si>
  <si>
    <t xml:space="preserve">Ter criado as páginas de captação e obrigado </t>
  </si>
  <si>
    <t xml:space="preserve">Ter criado a campanha de captação </t>
  </si>
  <si>
    <t xml:space="preserve">Durante esta etapa, você irá preparar tudo o que precisa para começar a sua captação. </t>
  </si>
  <si>
    <t>Revisar as etapas de Pré-requisitos</t>
  </si>
  <si>
    <t xml:space="preserve">Planejamento de Conteúdo de Aquecimento </t>
  </si>
  <si>
    <t xml:space="preserve">Criar as notificações de pré-lançamento </t>
  </si>
  <si>
    <t xml:space="preserve">A sua captação de leads iniciou! Agora, é necessário aquecer a sua lista de inscritos, antecipando o lançamento! </t>
  </si>
  <si>
    <t xml:space="preserve">Captação de Leads </t>
  </si>
  <si>
    <t>Publicação dos Conteúdos de Aquecimento</t>
  </si>
  <si>
    <t>Otimização da campanha de captação</t>
  </si>
  <si>
    <t xml:space="preserve">Notificações de Lançamento </t>
  </si>
  <si>
    <t>Escrever o Script dos CPLs</t>
  </si>
  <si>
    <t xml:space="preserve">Criar as notificações de Lançamento </t>
  </si>
  <si>
    <t>Abertura dos CPL's</t>
  </si>
  <si>
    <t>Remarketing de CPL</t>
  </si>
  <si>
    <t xml:space="preserve">Criação da Campanha de Remarketing de Carrinho </t>
  </si>
  <si>
    <t xml:space="preserve">Planejamento dos Conteúdos de Carrinho Aberto </t>
  </si>
  <si>
    <t xml:space="preserve">Notificações de Carrinho </t>
  </si>
  <si>
    <t xml:space="preserve">Planejamento da Recuperação de Vendas </t>
  </si>
  <si>
    <t xml:space="preserve">Nesta etapa você vai transmitir o Webinário, abrir o carrinho e iniciar a recuperação de vendas. </t>
  </si>
  <si>
    <t>Abertura do Carrinho</t>
  </si>
  <si>
    <t xml:space="preserve">Recuperação de Vendas </t>
  </si>
  <si>
    <t>Publicação dos Conteúdos de Carrinho Aberto</t>
  </si>
  <si>
    <t>Disparos de Notificações de Fechamento de Carrinho</t>
  </si>
  <si>
    <t xml:space="preserve">O seu lançamento acabou e agora é a hora de preparar o Debriefing para solicitar a Análise de Lançamento </t>
  </si>
  <si>
    <t xml:space="preserve">Fechamento do Carrinho </t>
  </si>
  <si>
    <t>Preenchimento do Debriefing</t>
  </si>
  <si>
    <t xml:space="preserve">Solicitação da Análise de Lançamento </t>
  </si>
  <si>
    <r>
      <rPr>
        <b/>
        <sz val="14"/>
        <color rgb="FFF3F3F3"/>
        <rFont val="Josefin Sans"/>
      </rPr>
      <t xml:space="preserve">PRÉ-REQUISITOS </t>
    </r>
    <r>
      <rPr>
        <sz val="14"/>
        <color rgb="FFF3F3F3"/>
        <rFont val="Josefin Sans"/>
      </rPr>
      <t xml:space="preserve">
(este ciclo foi executado durante o estudo dos Fundamentos da Jornada)</t>
    </r>
  </si>
  <si>
    <t>Lançamento Clássico</t>
  </si>
  <si>
    <t xml:space="preserve">📄 </t>
  </si>
  <si>
    <t>DOCUMENTOS NECESSÁRIOS NESTE CICLO</t>
  </si>
  <si>
    <t>Caso tenha dúvidas de como utilizar esses documentos, acesse os tutoriais</t>
  </si>
  <si>
    <t>-&gt;</t>
  </si>
  <si>
    <t>https://hotmart.com/pt-BR/club/am-insider/products/6130002/content/PeAg8qMPOW</t>
  </si>
  <si>
    <t xml:space="preserve">Launch Drive 
para produção do lançamento </t>
  </si>
  <si>
    <t>Pasta 1) Documentação de Lançamento -&gt; 2) Nicho, Avatar e Roma</t>
  </si>
  <si>
    <t>Pasta 1) Documentação de Lançamento -&gt; 4) Oferta - Visão Geral</t>
  </si>
  <si>
    <t xml:space="preserve">Pasta 3) Criativos -&gt; Mapa de Criativos </t>
  </si>
  <si>
    <t>Pasta 2) Páginas</t>
  </si>
  <si>
    <t>Pasta 4) Notificações -&gt; 1) AI - Aquecimento de Inscritos -&gt; 1) E-mails</t>
  </si>
  <si>
    <t xml:space="preserve">PRÉ-REQUISITOS </t>
  </si>
  <si>
    <t>Para ter um bom lançamento, é necessário ter uma base sólida e bem definida. 
Você acabou de passar por uma fase que te desenvolveu para chegar até aqui com tudo isso pronto. Agora é o momento de revisar o que foi feito e se certificar que nada passou batido</t>
  </si>
  <si>
    <t>BASES</t>
  </si>
  <si>
    <t xml:space="preserve">O Nicho, Avatar, Roma e Método são as bases que vão delinear toda a sua estratégia de lançamento. Garanta que não exista nenhuma lacuna na definição dessas bases. </t>
  </si>
  <si>
    <t>💻 Caso seja necessário, assista aos materiais enviados sobre o tema</t>
  </si>
  <si>
    <t>https://hotmart.com/pt-BR/club/am-insider/products/6130002/content/oODgEj2x7P</t>
  </si>
  <si>
    <t xml:space="preserve">Revise seu Nicho, Avatar e Roma </t>
  </si>
  <si>
    <t xml:space="preserve">Use o documento 1 listado em Documentos Necessários disponível no início dessa seção. </t>
  </si>
  <si>
    <t xml:space="preserve">Revise sua Oferta e Método </t>
  </si>
  <si>
    <t xml:space="preserve">Use o documento 2 listado em Documentos Necessários disponível no início dessa seção. </t>
  </si>
  <si>
    <t>AUDIÊNCIA</t>
  </si>
  <si>
    <t xml:space="preserve">Para que você consiga construir uma audiência qualificada, que se interessa pelo seu produto, é preciso comunicar a oportunidade de maneira certa nas suas redes sociais. Certifique-se que os seus perfis nas redes sociais estejam organizados de maneira que comunique a oportunidade de Roma. </t>
  </si>
  <si>
    <t>💻 Caso sinta necessidade, assista aos materiais enviados sobre o tema</t>
  </si>
  <si>
    <t>https://hotmart.com/pt-BR/club/am-insider/products/6130002/content/3eaQBP8keg</t>
  </si>
  <si>
    <t>INSTAGRAM</t>
  </si>
  <si>
    <r>
      <rPr>
        <b/>
        <sz val="10"/>
        <color theme="1"/>
        <rFont val="Rubik"/>
      </rPr>
      <t>1.</t>
    </r>
    <r>
      <rPr>
        <sz val="10"/>
        <color theme="1"/>
        <rFont val="Rubik"/>
      </rPr>
      <t xml:space="preserve"> Confirme que a sua conta do Instagram esteja configurada como um Perfil Comercial</t>
    </r>
  </si>
  <si>
    <r>
      <rPr>
        <b/>
        <sz val="10"/>
        <color theme="1"/>
        <rFont val="Rubik"/>
      </rPr>
      <t xml:space="preserve">2. </t>
    </r>
    <r>
      <rPr>
        <sz val="10"/>
        <color theme="1"/>
        <rFont val="Rubik"/>
      </rPr>
      <t>Certifique-se de que a Roma está na bio</t>
    </r>
  </si>
  <si>
    <r>
      <rPr>
        <b/>
        <sz val="10"/>
        <color theme="1"/>
        <rFont val="Rubik"/>
      </rPr>
      <t xml:space="preserve">3. </t>
    </r>
    <r>
      <rPr>
        <sz val="10"/>
        <color theme="1"/>
        <rFont val="Rubik"/>
      </rPr>
      <t>Coloque 1 post fixado quebrando objeções do seu avatar</t>
    </r>
  </si>
  <si>
    <r>
      <rPr>
        <b/>
        <sz val="10"/>
        <color theme="1"/>
        <rFont val="Rubik"/>
      </rPr>
      <t xml:space="preserve">4. </t>
    </r>
    <r>
      <rPr>
        <sz val="10"/>
        <color theme="1"/>
        <rFont val="Rubik"/>
      </rPr>
      <t xml:space="preserve">Crie 1 destaque contando a história do expert. 
</t>
    </r>
    <r>
      <rPr>
        <b/>
        <sz val="10"/>
        <color rgb="FF0079B8"/>
        <rFont val="Rubik"/>
      </rPr>
      <t>Exemplo:</t>
    </r>
    <r>
      <rPr>
        <sz val="10"/>
        <color rgb="FF0079B8"/>
        <rFont val="Rubik"/>
      </rPr>
      <t xml:space="preserve"> Comece por aqui - Jornada do Heroi (aqui você vai colocar a história do expert relacionando à história do método)</t>
    </r>
    <r>
      <rPr>
        <sz val="10"/>
        <color rgb="FFF26800"/>
        <rFont val="Rubik"/>
      </rPr>
      <t xml:space="preserve"> </t>
    </r>
  </si>
  <si>
    <r>
      <rPr>
        <b/>
        <sz val="10"/>
        <color theme="1"/>
        <rFont val="Rubik"/>
      </rPr>
      <t xml:space="preserve">5. </t>
    </r>
    <r>
      <rPr>
        <sz val="10"/>
        <color theme="1"/>
        <rFont val="Rubik"/>
      </rPr>
      <t>Crie 1 destaque explicando como os conteúdos do expert podem ajudar.</t>
    </r>
    <r>
      <rPr>
        <sz val="10"/>
        <color rgb="FFF26800"/>
        <rFont val="Rubik"/>
      </rPr>
      <t xml:space="preserve"> 
</t>
    </r>
    <r>
      <rPr>
        <b/>
        <sz val="10"/>
        <color rgb="FF0079B8"/>
        <rFont val="Rubik"/>
      </rPr>
      <t>Exemplo:</t>
    </r>
    <r>
      <rPr>
        <sz val="10"/>
        <color rgb="FF0079B8"/>
        <rFont val="Rubik"/>
      </rPr>
      <t xml:space="preserve"> Como eu posso te ajudar (mostre o valor do seu conteúdo)
                - Deve explicar a Roma 
                - Deve explicar para quem se destina os conteúdos (avatar) </t>
    </r>
  </si>
  <si>
    <r>
      <rPr>
        <b/>
        <sz val="10"/>
        <color theme="1"/>
        <rFont val="Rubik"/>
      </rPr>
      <t xml:space="preserve">6. </t>
    </r>
    <r>
      <rPr>
        <sz val="10"/>
        <color theme="1"/>
        <rFont val="Rubik"/>
      </rPr>
      <t xml:space="preserve">Crie 1 destaque com provas e depoimento dos alunos. 
</t>
    </r>
    <r>
      <rPr>
        <b/>
        <sz val="10"/>
        <color rgb="FF0079B8"/>
        <rFont val="Rubik"/>
      </rPr>
      <t>Exemplo:</t>
    </r>
    <r>
      <rPr>
        <sz val="10"/>
        <color rgb="FF0079B8"/>
        <rFont val="Rubik"/>
      </rPr>
      <t xml:space="preserve"> Resultado dos alunos, caso tenha (depoimentos em vídeo, mensagens enviadas por direct, whatsapp etc...)                        </t>
    </r>
  </si>
  <si>
    <t>FACEBOOK</t>
  </si>
  <si>
    <r>
      <rPr>
        <b/>
        <sz val="10"/>
        <color theme="1"/>
        <rFont val="Rubik"/>
      </rPr>
      <t>1.</t>
    </r>
    <r>
      <rPr>
        <sz val="10"/>
        <color theme="1"/>
        <rFont val="Rubik"/>
      </rPr>
      <t xml:space="preserve"> Coloque uma capa que comunique a sua Roma exatamente como ela é </t>
    </r>
  </si>
  <si>
    <t>YOUTUBE</t>
  </si>
  <si>
    <r>
      <rPr>
        <b/>
        <sz val="10"/>
        <color theme="1"/>
        <rFont val="Rubik"/>
      </rPr>
      <t>1.</t>
    </r>
    <r>
      <rPr>
        <sz val="10"/>
        <color theme="1"/>
        <rFont val="Rubik"/>
      </rPr>
      <t xml:space="preserve"> Coloque uma capa que comunique a sua Roma </t>
    </r>
  </si>
  <si>
    <r>
      <rPr>
        <b/>
        <sz val="10"/>
        <color theme="1"/>
        <rFont val="Rubik"/>
      </rPr>
      <t>2.</t>
    </r>
    <r>
      <rPr>
        <sz val="10"/>
        <color theme="1"/>
        <rFont val="Rubik"/>
      </rPr>
      <t xml:space="preserve"> Grave um vídeo de boas-vindas e fixe na página inicial do seu canal</t>
    </r>
  </si>
  <si>
    <t>CONTEÚDO</t>
  </si>
  <si>
    <t xml:space="preserve">Durante a Fase 02 você aprendeu a planejar conteúdos que comuniquem com o público certo. Além de publicar conteúdos, para intensificar o crescimento da audiência, você pode fazer a distribuição paga dos seus conteúdos. </t>
  </si>
  <si>
    <t>🎯</t>
  </si>
  <si>
    <t>Material complementar: ID de Construção de Audiência</t>
  </si>
  <si>
    <t>https://hotmart.com/pt-BR/club/am-insider/products/6130002/content/z7rBNrA27j</t>
  </si>
  <si>
    <t xml:space="preserve">Se planeje para postar pelo menos 5 reels/nutella e 1 raíz por semana </t>
  </si>
  <si>
    <t>CRIATIVOS</t>
  </si>
  <si>
    <r>
      <rPr>
        <sz val="10"/>
        <color rgb="FF000000"/>
        <rFont val="Rubik"/>
      </rPr>
      <t xml:space="preserve">Você já aprendeu o que são Criativos e como criá-los, na Fase 03. Para iniciar a fase de captação, você precisa dos </t>
    </r>
    <r>
      <rPr>
        <b/>
        <sz val="10"/>
        <color rgb="FF000000"/>
        <rFont val="Rubik"/>
      </rPr>
      <t>criativos prontos</t>
    </r>
    <r>
      <rPr>
        <sz val="10"/>
        <color rgb="FF000000"/>
        <rFont val="Rubik"/>
      </rPr>
      <t>, então agora é a hora de botar a mão na massa!</t>
    </r>
  </si>
  <si>
    <t>https://hotmart.com/pt-BR/club/am-insider/products/6130002/content/ROxVq6mKeD</t>
  </si>
  <si>
    <t xml:space="preserve">Acesse à biblioteca de criativos, caso precise de inspiração </t>
  </si>
  <si>
    <t>https://hotmart.com/pt-BR/club/am-insider/products/6130002/content/b4K9JA0N7X?track=zK4k0vMoeY</t>
  </si>
  <si>
    <t xml:space="preserve">Use o documento 3 listado em Documentos Necessários disponível no início dessa seção. </t>
  </si>
  <si>
    <r>
      <rPr>
        <sz val="10"/>
        <color theme="1"/>
        <rFont val="Rubik"/>
      </rPr>
      <t xml:space="preserve">Liste ideia de, </t>
    </r>
    <r>
      <rPr>
        <b/>
        <sz val="10"/>
        <color theme="1"/>
        <rFont val="Rubik"/>
      </rPr>
      <t>pelo menos, 10 estilos</t>
    </r>
    <r>
      <rPr>
        <sz val="10"/>
        <color theme="1"/>
        <rFont val="Rubik"/>
      </rPr>
      <t xml:space="preserve"> de criativos</t>
    </r>
  </si>
  <si>
    <t xml:space="preserve">Adapte os Criativos para conectar com o seu Avatar </t>
  </si>
  <si>
    <t>Defina e Escreva no seu Mapa de Criativos 2.0 o estilo de cada um dos 10 criativos</t>
  </si>
  <si>
    <t>Grave e edite os 10 criativos estruturado anteriormente</t>
  </si>
  <si>
    <t xml:space="preserve">[OPCIONAL] Faça um criativo que comunique sobre as lives de aquecimento, para ser distribuído para as leads já inscritas no lançamento. </t>
  </si>
  <si>
    <t xml:space="preserve">FERRAMENTAS </t>
  </si>
  <si>
    <t xml:space="preserve">Na Fase 03, você aprendeu a criar e configurar corretamente todas as páginas necessárias para o seu Lançamento Semente. Neste passo você deve revisar e se certificar de que as páginas estejam configuradas corretamente. </t>
  </si>
  <si>
    <t>💻</t>
  </si>
  <si>
    <t>Conteúdo de apoio, caso seja necessário revisar algum ponto:</t>
  </si>
  <si>
    <t>https://hotmart.com/pt-BR/club/am-insider/products/6130002/content/R4jbq2wA4a</t>
  </si>
  <si>
    <t>PÁGINAS</t>
  </si>
  <si>
    <t xml:space="preserve">Para ter uma página completa, você precisa: 
- inserir o link do grupo de WhatsApp na Página de Obrigado.
- inserir o link da Pesquisa de Avatar na automação do e-mail de Obrigado. </t>
  </si>
  <si>
    <t xml:space="preserve">Use o documento 4, listado em Documentos Necessários, disponível no início desta seção. </t>
  </si>
  <si>
    <t xml:space="preserve">Certifique-se de que: </t>
  </si>
  <si>
    <t>Tenha criado uma comunidade com um nome, capa e descrição que identifique o seu evento.</t>
  </si>
  <si>
    <r>
      <rPr>
        <sz val="10"/>
        <color rgb="FF000000"/>
        <rFont val="Rubik"/>
      </rPr>
      <t xml:space="preserve">Adicionou administradores para as comunidades. </t>
    </r>
    <r>
      <rPr>
        <i/>
        <sz val="10"/>
        <color rgb="FF000000"/>
        <rFont val="Rubik"/>
      </rPr>
      <t>Dica: por segurança tenha, pelo menos, 3 administradores.</t>
    </r>
  </si>
  <si>
    <t>Tenha incluído o link da comunidade na página de Obrigado e na automação do e-mail de obrigado.</t>
  </si>
  <si>
    <t>Tenha inserido o link da pesquisa de avatar na automação do e-mail de obrigado.</t>
  </si>
  <si>
    <t xml:space="preserve">Na configuração das páginas, confira se: </t>
  </si>
  <si>
    <t>O Pixel do Facebook foi criado corretamente</t>
  </si>
  <si>
    <t>O pixel do Facebook foi incluído em todas as suas páginas</t>
  </si>
  <si>
    <r>
      <rPr>
        <sz val="10"/>
        <color theme="1"/>
        <rFont val="Rubik"/>
      </rPr>
      <t>O Tag Manager</t>
    </r>
    <r>
      <rPr>
        <b/>
        <sz val="10"/>
        <color theme="1"/>
        <rFont val="Rubik"/>
      </rPr>
      <t xml:space="preserve"> </t>
    </r>
    <r>
      <rPr>
        <sz val="10"/>
        <color theme="1"/>
        <rFont val="Rubik"/>
      </rPr>
      <t xml:space="preserve">foi implementado </t>
    </r>
  </si>
  <si>
    <t>O domínio foi apontado para o HotmartPages</t>
  </si>
  <si>
    <t>Revise o conteúdo e a configuração todas as páginas</t>
  </si>
  <si>
    <t>Inscrição</t>
  </si>
  <si>
    <t>Obrigado</t>
  </si>
  <si>
    <t>Termos de Uso</t>
  </si>
  <si>
    <t>Política de Privacidade</t>
  </si>
  <si>
    <t>Blog de Lançamento</t>
  </si>
  <si>
    <t xml:space="preserve">Página de Vendas </t>
  </si>
  <si>
    <t>E-MAIL MARKETING</t>
  </si>
  <si>
    <t xml:space="preserve">Garanta que tenha criado todas as automações de e-mails necessárias para comunicar suas leads sobre o lançamento. </t>
  </si>
  <si>
    <t xml:space="preserve">Use o documento 5, listado em Documento Necessários, disponível no início desta seção </t>
  </si>
  <si>
    <r>
      <rPr>
        <b/>
        <sz val="10"/>
        <rFont val="Helvetica Neue"/>
      </rPr>
      <t>1.</t>
    </r>
    <r>
      <rPr>
        <sz val="10"/>
        <rFont val="Helvetica Neue"/>
      </rPr>
      <t xml:space="preserve"> Crie o seu formulário de inscrição na sua ferramenta de email marketing - </t>
    </r>
    <r>
      <rPr>
        <sz val="9"/>
        <color rgb="FF0079B8"/>
        <rFont val="Montserrat"/>
      </rPr>
      <t>📓</t>
    </r>
    <r>
      <rPr>
        <b/>
        <u/>
        <sz val="9"/>
        <color rgb="FF006EA6"/>
        <rFont val="Montserrat"/>
      </rPr>
      <t xml:space="preserve"> </t>
    </r>
    <r>
      <rPr>
        <b/>
        <u/>
        <sz val="10"/>
        <color rgb="FF006EA6"/>
        <rFont val="Helvetica Neue"/>
      </rPr>
      <t>Tutorial Hotmart - O que É e Como Criar um Formulário</t>
    </r>
    <r>
      <rPr>
        <sz val="10"/>
        <rFont val="Helvetica Neue"/>
      </rPr>
      <t xml:space="preserve"> </t>
    </r>
  </si>
  <si>
    <r>
      <rPr>
        <b/>
        <sz val="10"/>
        <rFont val="Helvetica Neue"/>
      </rPr>
      <t>2.</t>
    </r>
    <r>
      <rPr>
        <sz val="10"/>
        <rFont val="Helvetica Neue"/>
      </rPr>
      <t xml:space="preserve"> Integre o seu formulário com as suas páginas de lançamento - </t>
    </r>
    <r>
      <rPr>
        <sz val="9"/>
        <color rgb="FF0079B8"/>
        <rFont val="Montserrat"/>
      </rPr>
      <t>📓</t>
    </r>
    <r>
      <rPr>
        <sz val="9"/>
        <color rgb="FFD92365"/>
        <rFont val="Montserrat"/>
      </rPr>
      <t xml:space="preserve"> </t>
    </r>
    <r>
      <rPr>
        <b/>
        <u/>
        <sz val="9"/>
        <color rgb="FF006EA6"/>
        <rFont val="Montserrat"/>
      </rPr>
      <t>Tutorial Hotmart - Como Integrar o Send com o Pages</t>
    </r>
    <r>
      <rPr>
        <sz val="10"/>
        <rFont val="Helvetica Neue"/>
      </rPr>
      <t xml:space="preserve"> </t>
    </r>
  </si>
  <si>
    <r>
      <rPr>
        <b/>
        <sz val="10"/>
        <color theme="1"/>
        <rFont val="Helvetica Neue"/>
      </rPr>
      <t xml:space="preserve">3. </t>
    </r>
    <r>
      <rPr>
        <sz val="10"/>
        <color theme="1"/>
        <rFont val="Helvetica Neue"/>
      </rPr>
      <t>Teste o seu processo de inscrição e garanta que a inscrição está sendo registrada na sua ferramenta de email marketing com a tag correta</t>
    </r>
  </si>
  <si>
    <r>
      <rPr>
        <b/>
        <sz val="10"/>
        <rFont val="Helvetica Neue"/>
      </rPr>
      <t xml:space="preserve">4. </t>
    </r>
    <r>
      <rPr>
        <sz val="10"/>
        <rFont val="Helvetica Neue"/>
      </rPr>
      <t xml:space="preserve">Crie uma sequência na sua ferramenta de email marketing - </t>
    </r>
    <r>
      <rPr>
        <sz val="9"/>
        <color rgb="FF0079B8"/>
        <rFont val="Montserrat"/>
      </rPr>
      <t>📓</t>
    </r>
    <r>
      <rPr>
        <b/>
        <u/>
        <sz val="9"/>
        <color rgb="FF006EA6"/>
        <rFont val="Montserrat"/>
      </rPr>
      <t xml:space="preserve"> </t>
    </r>
    <r>
      <rPr>
        <b/>
        <u/>
        <sz val="10"/>
        <color rgb="FF006EA6"/>
        <rFont val="Helvetica Neue"/>
      </rPr>
      <t>Tutorial Hotmart - O que É e Como Criar uma Sequência</t>
    </r>
    <r>
      <rPr>
        <sz val="10"/>
        <rFont val="Helvetica Neue"/>
      </rPr>
      <t xml:space="preserve"> </t>
    </r>
  </si>
  <si>
    <r>
      <rPr>
        <b/>
        <sz val="10"/>
        <color theme="1"/>
        <rFont val="Helvetica Neue"/>
      </rPr>
      <t>5.</t>
    </r>
    <r>
      <rPr>
        <sz val="10"/>
        <color theme="1"/>
        <rFont val="Helvetica Neue"/>
      </rPr>
      <t xml:space="preserve"> Programe o Email 1) EMAIL DE OBRIGADO + PESQUISA como o primeiro passo da sequência de e-mails, para ser disparado logo após a lead confirmar a inscrição</t>
    </r>
  </si>
  <si>
    <r>
      <rPr>
        <b/>
        <sz val="10"/>
        <color theme="1"/>
        <rFont val="Helvetica Neue"/>
      </rPr>
      <t>6.</t>
    </r>
    <r>
      <rPr>
        <sz val="10"/>
        <color theme="1"/>
        <rFont val="Helvetica Neue"/>
      </rPr>
      <t xml:space="preserve"> Programe o Email 2) CONVITE GRUPO DE WHATSAPP como um passo dentro sequência do passo anterior, para ser disparado 1 dia depois da lead se inscrever</t>
    </r>
  </si>
  <si>
    <r>
      <rPr>
        <b/>
        <sz val="10"/>
        <rFont val="Helvetica Neue"/>
      </rPr>
      <t>7.</t>
    </r>
    <r>
      <rPr>
        <sz val="10"/>
        <rFont val="Helvetica Neue"/>
      </rPr>
      <t xml:space="preserve"> Integre o Listboss da Hotmart - 📓</t>
    </r>
    <r>
      <rPr>
        <b/>
        <u/>
        <sz val="10"/>
        <color rgb="FF006EA6"/>
        <rFont val="Helvetica Neue"/>
      </rPr>
      <t xml:space="preserve"> Tutorial Hotmart - O que é e como integrar o Listboss?</t>
    </r>
    <r>
      <rPr>
        <sz val="10"/>
        <rFont val="Helvetica Neue"/>
      </rPr>
      <t xml:space="preserve"> </t>
    </r>
  </si>
  <si>
    <t>CAMPANHA DE TRÁFEGO</t>
  </si>
  <si>
    <t xml:space="preserve">Você já estudou sobre como configurar uma campanha de tráfego com o objetivo de captação, para criar a sua lista de leads para o lançamento. Agora chegou o momento de organizar a sua estratégia e conferir se tudo está configurado corretamente. </t>
  </si>
  <si>
    <t xml:space="preserve">Utilize o documento 6, listado em Documentos Necessários, disponível no início desta seção. </t>
  </si>
  <si>
    <t xml:space="preserve">Defina o Planejamento de Investimento e registre em seu arquivo do Launch Drive </t>
  </si>
  <si>
    <t>Com base na sua Meta de Leads Total, utilize a Planilha de Tráfego para planejar a sua Meta de Leads Diária e Meta de Orçamento Diário</t>
  </si>
  <si>
    <t>Conteúdo de apoio sobre Planejamento de Investimento</t>
  </si>
  <si>
    <t>https://hotmart.com/pt-BR/club/am-insider/products/6130002/content/k7Q1rdpx7y</t>
  </si>
  <si>
    <t xml:space="preserve">FACEBOOK </t>
  </si>
  <si>
    <t xml:space="preserve">GOOGLE </t>
  </si>
  <si>
    <r>
      <rPr>
        <sz val="10"/>
        <color rgb="FF373839"/>
        <rFont val="Rubik"/>
      </rPr>
      <t xml:space="preserve">Criar Pixel do Facebook - 👨‍🏫 </t>
    </r>
    <r>
      <rPr>
        <u/>
        <sz val="10"/>
        <color rgb="FF1155CC"/>
        <rFont val="Rubik"/>
      </rPr>
      <t>Aula de Criação de Pixel no Facebook</t>
    </r>
  </si>
  <si>
    <r>
      <rPr>
        <sz val="10"/>
        <color rgb="FF373839"/>
        <rFont val="Rubik"/>
      </rPr>
      <t>Criar Global Site Tag e Snippet de Evento de Conversão - 👨‍🏫</t>
    </r>
    <r>
      <rPr>
        <b/>
        <sz val="9"/>
        <color rgb="FF373839"/>
        <rFont val="Rubik"/>
      </rPr>
      <t xml:space="preserve"> </t>
    </r>
    <r>
      <rPr>
        <u/>
        <sz val="10"/>
        <color rgb="FF1155CC"/>
        <rFont val="Rubik"/>
      </rPr>
      <t>Aula de Criação a Global Site Tag e o Snippet de Evento de Conversão</t>
    </r>
  </si>
  <si>
    <r>
      <rPr>
        <sz val="10"/>
        <color rgb="FF373839"/>
        <rFont val="Rubik"/>
      </rPr>
      <t>Preencher o doc "PIXELS E SCRIPTS" -</t>
    </r>
    <r>
      <rPr>
        <sz val="10"/>
        <color rgb="FF0079B8"/>
        <rFont val="Rubik"/>
      </rPr>
      <t xml:space="preserve"> </t>
    </r>
    <r>
      <rPr>
        <sz val="9"/>
        <color rgb="FF0079B8"/>
        <rFont val="Rubik"/>
      </rPr>
      <t xml:space="preserve">👨‍🏫 </t>
    </r>
    <r>
      <rPr>
        <u/>
        <sz val="10"/>
        <color rgb="FF1155CC"/>
        <rFont val="Rubik"/>
      </rPr>
      <t>Tutorial de como usar o doc Pixels e Scripts</t>
    </r>
  </si>
  <si>
    <r>
      <rPr>
        <sz val="10"/>
        <color rgb="FF373839"/>
        <rFont val="Rubik"/>
      </rPr>
      <t>Preencher o doc "PIXELS E SCRIPTS" -</t>
    </r>
    <r>
      <rPr>
        <sz val="10"/>
        <color rgb="FF0079B8"/>
        <rFont val="Rubik"/>
      </rPr>
      <t xml:space="preserve"> </t>
    </r>
    <r>
      <rPr>
        <sz val="9"/>
        <color rgb="FF0079B8"/>
        <rFont val="Rubik"/>
      </rPr>
      <t xml:space="preserve">👨‍🏫 </t>
    </r>
    <r>
      <rPr>
        <u/>
        <sz val="10"/>
        <color rgb="FF1155CC"/>
        <rFont val="Rubik"/>
      </rPr>
      <t>Tutorial de como usar o doc Pixels e Scripts</t>
    </r>
  </si>
  <si>
    <r>
      <rPr>
        <sz val="10"/>
        <rFont val="Rubik"/>
      </rPr>
      <t xml:space="preserve">Implemente o Tag Manager - 👨‍🏫 </t>
    </r>
    <r>
      <rPr>
        <u/>
        <sz val="10"/>
        <color rgb="FF1155CC"/>
        <rFont val="Rubik"/>
      </rPr>
      <t>Aula de Implementação do Google Tag Manager</t>
    </r>
  </si>
  <si>
    <r>
      <rPr>
        <sz val="10"/>
        <rFont val="Rubik"/>
      </rPr>
      <t xml:space="preserve">Implemente o Tag Manager - 👨‍🏫 </t>
    </r>
    <r>
      <rPr>
        <u/>
        <sz val="10"/>
        <color rgb="FF1155CC"/>
        <rFont val="Rubik"/>
      </rPr>
      <t>Aula de Implementação do Google Tag Manager</t>
    </r>
  </si>
  <si>
    <r>
      <rPr>
        <sz val="10"/>
        <color rgb="FF373839"/>
        <rFont val="Rubik"/>
      </rPr>
      <t xml:space="preserve">Configure a sua campanha de captação de leads na Meta - 👨‍🏫 </t>
    </r>
    <r>
      <rPr>
        <u/>
        <sz val="10"/>
        <color rgb="FF1155CC"/>
        <rFont val="Rubik"/>
      </rPr>
      <t>Aula Configurações Iniciais para Captação de Leads</t>
    </r>
  </si>
  <si>
    <r>
      <rPr>
        <sz val="10"/>
        <rFont val="Rubik"/>
      </rPr>
      <t xml:space="preserve">Configure a sua captação de leads - 👨‍🏫 </t>
    </r>
    <r>
      <rPr>
        <u/>
        <sz val="10"/>
        <color rgb="FF1155CC"/>
        <rFont val="Rubik"/>
      </rPr>
      <t>Aula Configurações Iniciais para Captaçao de Leads no Google</t>
    </r>
  </si>
  <si>
    <r>
      <rPr>
        <sz val="10"/>
        <rFont val="Rubik"/>
      </rPr>
      <t xml:space="preserve">Criação de Públicos - 👨‍🏫 </t>
    </r>
    <r>
      <rPr>
        <u/>
        <sz val="10"/>
        <color rgb="FF1155CC"/>
        <rFont val="Rubik"/>
      </rPr>
      <t>Aula de Criação de Públicos no Google</t>
    </r>
  </si>
  <si>
    <r>
      <rPr>
        <sz val="10"/>
        <rFont val="Rubik"/>
      </rPr>
      <t xml:space="preserve">Criação de Públicos - 👨‍🏫 </t>
    </r>
    <r>
      <rPr>
        <u/>
        <sz val="10"/>
        <color rgb="FF1155CC"/>
        <rFont val="Rubik"/>
      </rPr>
      <t>Aula de Criação de Públicos no Facebook</t>
    </r>
  </si>
  <si>
    <t>Criar todos os públicos de de usuários do Youtube</t>
  </si>
  <si>
    <t>Crie um público de Envolvimento de 30, 60, 90, 180 e 365</t>
  </si>
  <si>
    <t>Crie uma campanha de vídeo com o objetivo de Conversão</t>
  </si>
  <si>
    <r>
      <rPr>
        <sz val="10"/>
        <rFont val="Rubik"/>
      </rPr>
      <t xml:space="preserve">Crie sua Campanha de Captação - 👨‍🏫 </t>
    </r>
    <r>
      <rPr>
        <u/>
        <sz val="10"/>
        <color rgb="FF1155CC"/>
        <rFont val="Rubik"/>
      </rPr>
      <t>Criação da Campanha de Captação de Leads</t>
    </r>
  </si>
  <si>
    <t>Use os grupos de anúncios os seus públicos de segmentos personalizados e envolvimento.
- Envolvimento Youtube: adicionou um video a uma playlist, curtiu um vídeo e compartilhou um vídeo
- Segmentos Personalizados: Nos segmentos personalizados crie públicos de interesse utilizando suas principais palavras-chaves</t>
  </si>
  <si>
    <t>Crie os conjuntos de anúncios de remarketing da página de inscrição, Envolvimento, Lookalikes e Interesses</t>
  </si>
  <si>
    <t>Use de 3 a 4 anúncios iniciais para a captação adicionando o link do vídeo não-listado no Youtube</t>
  </si>
  <si>
    <t>Use de 3 a 4 anúncios iniciais para a captação adicionando os criativos de vídeo/imagem, texto principal (copy), título e CTA</t>
  </si>
  <si>
    <t>O QUE ESPERAR NESTE CICLO</t>
  </si>
  <si>
    <t xml:space="preserve">Você já configurou todas as ferramentas necessárias para executar o seu lançamento, agora chegou a hora de implementar! 
Nessa fase, você deverá planejar seus conteúdos de aquecimento e escrever as copies das notificações de pré-lançamento que serão enviadas durante o período de Captação. </t>
  </si>
  <si>
    <t xml:space="preserve">⚠️ Importante! Enquanto estiver neste ciclo, você deverá produzir e postar conteúdo, seguindo a frequência de pelo menos 4 reels e 1 raíz por semana. </t>
  </si>
  <si>
    <r>
      <rPr>
        <b/>
        <sz val="11"/>
        <color theme="1"/>
        <rFont val="Jost"/>
      </rPr>
      <t xml:space="preserve">MATERIAIS DE APOIO DESTE CICLO </t>
    </r>
    <r>
      <rPr>
        <b/>
        <i/>
        <sz val="11"/>
        <color theme="1"/>
        <rFont val="Jost"/>
      </rPr>
      <t>(somente se precisar)</t>
    </r>
  </si>
  <si>
    <t xml:space="preserve">ID de Conteúdo Raíz </t>
  </si>
  <si>
    <t>https://hotmart.com/pt-BR/club/am-insider/products/6130002/content/NOwQyD3Mem</t>
  </si>
  <si>
    <t xml:space="preserve">ID de Reels </t>
  </si>
  <si>
    <t>https://hotmart.com/pt-BR/club/am-insider/products/6130002/content/M7G9bwd94w</t>
  </si>
  <si>
    <r>
      <rPr>
        <b/>
        <sz val="10"/>
        <color theme="1"/>
        <rFont val="Lexend"/>
      </rPr>
      <t xml:space="preserve">DISTRIBUIÇÃO </t>
    </r>
    <r>
      <rPr>
        <i/>
        <sz val="10"/>
        <color theme="1"/>
        <rFont val="Lexend"/>
      </rPr>
      <t>(opcional)</t>
    </r>
  </si>
  <si>
    <t>Curso de Tráfego 2.0 Módulo de Distribuição</t>
  </si>
  <si>
    <t>https://hotmart.com/pt-BR/club/am-insider/products/6130002/content/2OMJAXK146</t>
  </si>
  <si>
    <t xml:space="preserve">Content Drive
para produção e armazenamento de dados de distribuição </t>
  </si>
  <si>
    <t>Pasta 1) Produção -&gt; 1) Gerador de Raíz; 2) Gerador de Reels</t>
  </si>
  <si>
    <t>Pasta 2) Distribuição -&gt; 4) Métricas Reels e Distribuição de Conteúdo</t>
  </si>
  <si>
    <t xml:space="preserve">Pasta 2) Distribuição -&gt; 4) Crescimento de Audiência Google ADS </t>
  </si>
  <si>
    <t xml:space="preserve">Pasta 1) Produção -&gt; 4) Gerador de Conteúdo de Aquecimento </t>
  </si>
  <si>
    <t>Pasta 4) Notificações</t>
  </si>
  <si>
    <t xml:space="preserve">PRODUÇÃO E PUBLICAÇÃO DE CONTEÚDO </t>
  </si>
  <si>
    <t xml:space="preserve">Enquanto você está preparando o seu lançamento, é necessário que mantenha a frequência de conteúdo. Caso tenha dúvida em como estruturar os conteúdos, utilize os materiais complementares e as instruções abaixo. </t>
  </si>
  <si>
    <r>
      <rPr>
        <sz val="10"/>
        <color theme="1"/>
        <rFont val="Rubik"/>
      </rPr>
      <t>📢 Atenção! É ideal que você mantenha uma</t>
    </r>
    <r>
      <rPr>
        <b/>
        <sz val="10"/>
        <color theme="1"/>
        <rFont val="Rubik"/>
      </rPr>
      <t xml:space="preserve"> frequência de semanal</t>
    </r>
    <r>
      <rPr>
        <sz val="10"/>
        <color theme="1"/>
        <rFont val="Rubik"/>
      </rPr>
      <t>, pelo menos:</t>
    </r>
  </si>
  <si>
    <t>5 reels / nutellas</t>
  </si>
  <si>
    <t>1 raíz</t>
  </si>
  <si>
    <t>RAÍZ</t>
  </si>
  <si>
    <t>📄</t>
  </si>
  <si>
    <t xml:space="preserve">Utilize o documento 1, listado no início desta seção, para roteirizar o conteúdo raíz </t>
  </si>
  <si>
    <r>
      <rPr>
        <i/>
        <u/>
        <sz val="10"/>
        <color rgb="FF1155CC"/>
        <rFont val="Rubik"/>
      </rPr>
      <t>Material complementar</t>
    </r>
    <r>
      <rPr>
        <i/>
        <sz val="10"/>
        <rFont val="Rubik"/>
      </rPr>
      <t xml:space="preserve"> - Conteúdo Raíz </t>
    </r>
  </si>
  <si>
    <r>
      <rPr>
        <sz val="10"/>
        <color theme="1"/>
        <rFont val="Rubik"/>
      </rPr>
      <t xml:space="preserve">Escolha as linhas editoriais e os temas de modo que consiga manter consistência e fazer </t>
    </r>
    <r>
      <rPr>
        <b/>
        <sz val="10"/>
        <color theme="1"/>
        <rFont val="Rubik"/>
      </rPr>
      <t>1 raíz por semana.</t>
    </r>
  </si>
  <si>
    <t>Escreva as Estruturas de Roteiros dos temas listados, crie uma cópia para cada tema na aba "Estrutura de Roteiro" do arquivo 1) GERADOR DE RAIZ</t>
  </si>
  <si>
    <t>NUTELLA / REELS</t>
  </si>
  <si>
    <t>Utilize o documento 1, listado no início desta seção, para roteirizar seus reels</t>
  </si>
  <si>
    <r>
      <rPr>
        <i/>
        <u/>
        <sz val="10"/>
        <color rgb="FF1155CC"/>
        <rFont val="Rubik"/>
      </rPr>
      <t xml:space="preserve">Material complementar </t>
    </r>
    <r>
      <rPr>
        <i/>
        <sz val="10"/>
        <color rgb="FF000000"/>
        <rFont val="Rubik"/>
      </rPr>
      <t>- Reels</t>
    </r>
  </si>
  <si>
    <r>
      <rPr>
        <sz val="10"/>
        <color rgb="FF000000"/>
        <rFont val="Rubik"/>
      </rPr>
      <t xml:space="preserve">Defina temas que conectam com seu avatar e que estejam alinhados à sua roma para gravar nos reels, seguindo a estrutura orientada no Launch Drive. 
É ideal que mantenha uma </t>
    </r>
    <r>
      <rPr>
        <b/>
        <sz val="10"/>
        <color rgb="FF000000"/>
        <rFont val="Rubik"/>
      </rPr>
      <t>frequência de, pelo menos, 5 reels por semana</t>
    </r>
  </si>
  <si>
    <t xml:space="preserve">💡Você deve pensar na quantidade de reels a serem postados até começar a sua captação, tentando manter a frequência de pelo 5 reels por semana. </t>
  </si>
  <si>
    <t>Distribuição de Conteúdo</t>
  </si>
  <si>
    <t>Para o Lançamento Semente, distribuição de conteúdo não é determinante, mas pode ajudar a potencializar o crescimento da sua audiência, além de popular os públicos para a campanha de captação.</t>
  </si>
  <si>
    <t>Material complementar - Distribuição de Conteúdo</t>
  </si>
  <si>
    <t>Turbinar - aumentando seu público para o Lançamento</t>
  </si>
  <si>
    <t xml:space="preserve">Confira seu orçamento para distribuição de acordo com a tabela.                        </t>
  </si>
  <si>
    <t>Utilize o documento 2, para planilhar as métricas dos reels</t>
  </si>
  <si>
    <t>Utilize o documento 3, para planilhar os conteúdos distribuídos</t>
  </si>
  <si>
    <r>
      <rPr>
        <sz val="10"/>
        <color theme="1"/>
        <rFont val="&quot;Helvetica Neue&quot;, Arial"/>
      </rPr>
      <t xml:space="preserve">Localize o reels que deseja impulsionar &gt; botão azul &gt; turbinar publicação. Selecione a meta:  </t>
    </r>
    <r>
      <rPr>
        <sz val="10"/>
        <color rgb="FF0087CC"/>
        <rFont val="&quot;Helvetica Neue&quot;, Arial"/>
      </rPr>
      <t xml:space="preserve">mais visita ao perfil.   </t>
    </r>
    <r>
      <rPr>
        <sz val="10"/>
        <color rgb="FF0000FF"/>
        <rFont val="&quot;Helvetica Neue&quot;, Arial"/>
      </rPr>
      <t xml:space="preserve">   </t>
    </r>
    <r>
      <rPr>
        <sz val="10"/>
        <color theme="1"/>
        <rFont val="&quot;Helvetica Neue&quot;, Arial"/>
      </rPr>
      <t xml:space="preserve">                  </t>
    </r>
  </si>
  <si>
    <t>Crie uma campanha de vídeo sem meta</t>
  </si>
  <si>
    <r>
      <rPr>
        <sz val="10"/>
        <color theme="1"/>
        <rFont val="&quot;Helvetica Neue&quot;, Arial"/>
      </rPr>
      <t>Configure seu público frio.</t>
    </r>
    <r>
      <rPr>
        <sz val="10"/>
        <color rgb="FFD92365"/>
        <rFont val="&quot;Helvetica Neue&quot;, Arial"/>
      </rPr>
      <t xml:space="preserve"> </t>
    </r>
    <r>
      <rPr>
        <sz val="10"/>
        <color rgb="FF0087CC"/>
        <rFont val="&quot;Helvetica Neue&quot;, Arial"/>
      </rPr>
      <t xml:space="preserve">(passe o mouse para visualizar o passo a passo)      </t>
    </r>
    <r>
      <rPr>
        <sz val="10"/>
        <color rgb="FF0000FF"/>
        <rFont val="&quot;Helvetica Neue&quot;, Arial"/>
      </rPr>
      <t xml:space="preserve"> </t>
    </r>
    <r>
      <rPr>
        <sz val="10"/>
        <color theme="1"/>
        <rFont val="&quot;Helvetica Neue&quot;, Arial"/>
      </rPr>
      <t xml:space="preserve">         </t>
    </r>
  </si>
  <si>
    <t>Crie os grupos de anúncios de seguimentos personalizados conforme ensinado na aula.</t>
  </si>
  <si>
    <r>
      <rPr>
        <sz val="10"/>
        <color theme="1"/>
        <rFont val="&quot;Helvetica Neue&quot;, Arial"/>
      </rPr>
      <t>Defina o orçamento diário e a duração da campanha que será veiculada, em seguida toque em</t>
    </r>
    <r>
      <rPr>
        <sz val="10"/>
        <color rgb="FF0087CC"/>
        <rFont val="&quot;Helvetica Neue&quot;, Arial"/>
      </rPr>
      <t xml:space="preserve"> ‘Avançar’</t>
    </r>
    <r>
      <rPr>
        <sz val="10"/>
        <color rgb="FF0000FF"/>
        <rFont val="&quot;Helvetica Neue&quot;, Arial"/>
      </rPr>
      <t>.</t>
    </r>
    <r>
      <rPr>
        <sz val="10"/>
        <color theme="1"/>
        <rFont val="&quot;Helvetica Neue&quot;, Arial"/>
      </rPr>
      <t xml:space="preserve">                </t>
    </r>
  </si>
  <si>
    <t>Adicione os vídeos raízes que você publicou na semana anterior</t>
  </si>
  <si>
    <r>
      <rPr>
        <sz val="10"/>
        <color theme="1"/>
        <rFont val="&quot;Helvetica Neue&quot;, Arial"/>
      </rPr>
      <t xml:space="preserve">Revise as configurações realizadas e caso esteja tudo certo toque no botão </t>
    </r>
    <r>
      <rPr>
        <sz val="10"/>
        <color rgb="FF0087CC"/>
        <rFont val="&quot;Helvetica Neue&quot;, Arial"/>
      </rPr>
      <t xml:space="preserve">‘Turbinar publicação’. </t>
    </r>
    <r>
      <rPr>
        <sz val="10"/>
        <color rgb="FF0000FF"/>
        <rFont val="&quot;Helvetica Neue&quot;, Arial"/>
      </rPr>
      <t xml:space="preserve">      </t>
    </r>
    <r>
      <rPr>
        <sz val="10"/>
        <color theme="1"/>
        <rFont val="&quot;Helvetica Neue&quot;, Arial"/>
      </rPr>
      <t xml:space="preserve">         </t>
    </r>
  </si>
  <si>
    <t>Publique a campanha
    Nas próximas semanas, você só vai ter que duplicar essa campanha, atualizar 
    a data e trocar os vídeos)</t>
  </si>
  <si>
    <t>Planejamento de Conteúdos de Aquecimento</t>
  </si>
  <si>
    <r>
      <rPr>
        <sz val="10"/>
        <color theme="1"/>
        <rFont val="Rubik"/>
      </rPr>
      <t xml:space="preserve">Os </t>
    </r>
    <r>
      <rPr>
        <b/>
        <sz val="10"/>
        <color theme="1"/>
        <rFont val="Rubik"/>
      </rPr>
      <t>Conteúdos de Aquecimento</t>
    </r>
    <r>
      <rPr>
        <sz val="10"/>
        <color theme="1"/>
        <rFont val="Rubik"/>
      </rPr>
      <t xml:space="preserve"> devem </t>
    </r>
    <r>
      <rPr>
        <b/>
        <sz val="10"/>
        <color theme="1"/>
        <rFont val="Rubik"/>
      </rPr>
      <t>gerar Desejo</t>
    </r>
    <r>
      <rPr>
        <sz val="10"/>
        <color theme="1"/>
        <rFont val="Rubik"/>
      </rPr>
      <t xml:space="preserve"> para participar do Evento de Pré-lançamento e sempre apresentar um </t>
    </r>
    <r>
      <rPr>
        <b/>
        <sz val="10"/>
        <color theme="1"/>
        <rFont val="Rubik"/>
      </rPr>
      <t>CTA para inscrição.</t>
    </r>
    <r>
      <rPr>
        <sz val="10"/>
        <color theme="1"/>
        <rFont val="Rubik"/>
      </rPr>
      <t xml:space="preserve"> 
Exemplo: "Se inscreva no link na bio"</t>
    </r>
  </si>
  <si>
    <r>
      <rPr>
        <sz val="10"/>
        <color theme="1"/>
        <rFont val="Rubik"/>
      </rPr>
      <t xml:space="preserve">Os temas definidos deverão enfraquecer as principais OBJEÇÕES do avatar em relação à ROMA e devem ser </t>
    </r>
    <r>
      <rPr>
        <b/>
        <sz val="10"/>
        <color theme="1"/>
        <rFont val="Rubik"/>
      </rPr>
      <t xml:space="preserve">replicados nos Reels, Stories, Lives de Aquecimento e Áudios de Whatsapp. </t>
    </r>
  </si>
  <si>
    <t xml:space="preserve">Use o documento 4 listado em Materiais de Apoio descrito no início dessa seção. </t>
  </si>
  <si>
    <t xml:space="preserve">Defina 10 Temas para serem trabalhados em seus conteúdos </t>
  </si>
  <si>
    <t xml:space="preserve">Escreva abaixo cada um dos temas definidos </t>
  </si>
  <si>
    <t>1ª Tema:</t>
  </si>
  <si>
    <t>2ª Tema:</t>
  </si>
  <si>
    <t>3ª Tema:</t>
  </si>
  <si>
    <t>4ª Tema:</t>
  </si>
  <si>
    <t>5ª Tema:</t>
  </si>
  <si>
    <t>6ª Tema:</t>
  </si>
  <si>
    <t>7ª Tema:</t>
  </si>
  <si>
    <t>8ª Tema:</t>
  </si>
  <si>
    <t>9ª Tema:</t>
  </si>
  <si>
    <t>10ª Tema:</t>
  </si>
  <si>
    <t>ÁUDIOS DE WHATSAPP</t>
  </si>
  <si>
    <t>💡</t>
  </si>
  <si>
    <t>Você deverá enviar um áudio por dia, de domingo à quinta até a data do lançamento.</t>
  </si>
  <si>
    <t xml:space="preserve">Crie os 10 áudios que serão enviados durante o período de captação. </t>
  </si>
  <si>
    <t>REELS</t>
  </si>
  <si>
    <t>Você deverá publicar um reels de aquecimento por dia: do dia que inicia a captação de leads até a data do lançamento.</t>
  </si>
  <si>
    <t>Crie a estrutura dos 15 reels a partir dos temas definidos</t>
  </si>
  <si>
    <t>LIVES DE AQUECIMENTO</t>
  </si>
  <si>
    <t xml:space="preserve"> Serão realizadas 10 lives de aquecimento, sendo de domingo a quinta durante as duas semanas de camptação, até o domingo que antecede o CPL 1. </t>
  </si>
  <si>
    <t xml:space="preserve">1. Defina quais as linhas editoriais você vai usar no seu aquecimento. Você pode usar os três intercalando: </t>
  </si>
  <si>
    <t xml:space="preserve">1.1 - Aula de Aquecimento </t>
  </si>
  <si>
    <t xml:space="preserve">1.2 - Perguntas e Respostas </t>
  </si>
  <si>
    <t>1.3 - Entrevista</t>
  </si>
  <si>
    <t>Crie a estrutura das 3 lives a partir dos temas definidos</t>
  </si>
  <si>
    <t>STORIES</t>
  </si>
  <si>
    <t xml:space="preserve">💡 Você deverá replicar os temas definidos anteriormente também nos stories.
      Aproveite para interagir com a sua audiência abrindo Caixinhas de Perguntas e Caixinha de Contagem Regressiva para o Webinário. </t>
  </si>
  <si>
    <t xml:space="preserve">Defina os assuntos abordados nos stories de acordo com os temas definidos anteriormente. </t>
  </si>
  <si>
    <t>Escolha alguma forma de interação com a sua audiência
- Caixinha de perguntas 
- Enquetes 
- Reações</t>
  </si>
  <si>
    <t>Notificações de Pré-lançamento</t>
  </si>
  <si>
    <t>As copies de todas as mensagens estão disponíveis em seu Launch Drive.</t>
  </si>
  <si>
    <t xml:space="preserve">Notificação de Inscrição </t>
  </si>
  <si>
    <t>E-mail de "Obrigado + Comunidade do Whatsapp"</t>
  </si>
  <si>
    <t xml:space="preserve">No ciclo anterior, você programou os e-mails, agora é preciso adaptar a copy com a sua identidade, para a comunicação com o avatar. </t>
  </si>
  <si>
    <t>Adapte a copy do e-mail de "OBRIGADO + PESQUISA".</t>
  </si>
  <si>
    <t>Adapte a copy do e-mail "CONVITE GRUPO DE WHATSAPP"</t>
  </si>
  <si>
    <t>Whatsapp - Mensagem de Boas-Vindas</t>
  </si>
  <si>
    <r>
      <rPr>
        <sz val="10"/>
        <color theme="1"/>
        <rFont val="Rubik"/>
      </rPr>
      <t xml:space="preserve">Crie uma mensagem de boas-vindas usando o Script BOAS-VINDAS + PESQUISA DE AVATAR disponível no seu Launch Drive </t>
    </r>
    <r>
      <rPr>
        <i/>
        <sz val="10"/>
        <color theme="1"/>
        <rFont val="Rubik"/>
      </rPr>
      <t>(passe o mouse aqui pra ler um exemplo)</t>
    </r>
  </si>
  <si>
    <t xml:space="preserve">Armazene essa mensagem na pasta do seu Launch Drive, para ser enviada periodicamente nos grupos do Whatsapp. </t>
  </si>
  <si>
    <t xml:space="preserve">Antecipação do Lançamento </t>
  </si>
  <si>
    <t xml:space="preserve">E-mail </t>
  </si>
  <si>
    <t>WhatsApp</t>
  </si>
  <si>
    <t xml:space="preserve">A sua captação de leads começou, o seu maior foco é acompanhar os dados de captação, fazer as otimizações da campanha e aquecer os inscritos. </t>
  </si>
  <si>
    <r>
      <rPr>
        <sz val="10"/>
        <color theme="1"/>
        <rFont val="Lexend"/>
      </rPr>
      <t xml:space="preserve">⚠️ Você deverá fazer a otimização de </t>
    </r>
    <r>
      <rPr>
        <b/>
        <sz val="10"/>
        <color theme="1"/>
        <rFont val="Lexend"/>
      </rPr>
      <t>orçamento diariamente</t>
    </r>
    <r>
      <rPr>
        <sz val="10"/>
        <color theme="1"/>
        <rFont val="Lexend"/>
      </rPr>
      <t xml:space="preserve">, otimização de </t>
    </r>
    <r>
      <rPr>
        <b/>
        <sz val="10"/>
        <color theme="1"/>
        <rFont val="Lexend"/>
      </rPr>
      <t>criativos 2x na semana</t>
    </r>
    <r>
      <rPr>
        <sz val="10"/>
        <color theme="1"/>
        <rFont val="Lexend"/>
      </rPr>
      <t xml:space="preserve"> e otimização de</t>
    </r>
    <r>
      <rPr>
        <b/>
        <sz val="10"/>
        <color theme="1"/>
        <rFont val="Lexend"/>
      </rPr>
      <t xml:space="preserve"> públicos 1x na semana</t>
    </r>
    <r>
      <rPr>
        <sz val="10"/>
        <color theme="1"/>
        <rFont val="Lexend"/>
      </rPr>
      <t xml:space="preserve">. </t>
    </r>
  </si>
  <si>
    <r>
      <rPr>
        <b/>
        <sz val="11"/>
        <color theme="1"/>
        <rFont val="Jost"/>
      </rPr>
      <t xml:space="preserve">MATERIAIS DE APOIO DESTE CICLO </t>
    </r>
    <r>
      <rPr>
        <b/>
        <i/>
        <sz val="11"/>
        <color theme="1"/>
        <rFont val="Jost"/>
      </rPr>
      <t>(somente se precisar)</t>
    </r>
  </si>
  <si>
    <t>CAMPANHA DE CAPTAÇÃO DE LEADS  - OTIMIZAÇÃO</t>
  </si>
  <si>
    <t>Curso de Tráfego 2.0 - Aulas de Otimização - Facebook / Meta</t>
  </si>
  <si>
    <t>https://hotmart.com/pt-BR/club/am-insider/products/6130002/content/M7G9pg0V4w</t>
  </si>
  <si>
    <t>Curso de Tráfego 2.0 - Aulas de Otimização - Google</t>
  </si>
  <si>
    <t>https://hotmart.com/pt-BR/club/am-insider/products/6130002/content/y4bVRL3P4R</t>
  </si>
  <si>
    <t>CAMPANHA DE REMARKETING</t>
  </si>
  <si>
    <t xml:space="preserve">Cursto de Tráfego 2.0 - Criativos de Remarketing </t>
  </si>
  <si>
    <t>https://hotmart.com/pt-BR/club/am-insider/products/6130002/content/94J9p0MdOg</t>
  </si>
  <si>
    <t>Curso de Tráfego 2.0 - Criação da Campanha de Remarketing de Antecipação</t>
  </si>
  <si>
    <t>https://hotmart.com/pt-BR/club/am-insider/products/6130002/content/gOpb2NqXeJ</t>
  </si>
  <si>
    <t>Curso de Tráfego 2.0 - Planejamento de investimento de Remarketing de CPL</t>
  </si>
  <si>
    <t>https://hotmart.com/pt-BR/club/am-insider/products/6130002/content/k45QmVyN4l</t>
  </si>
  <si>
    <t>Curso de Tráfego 2.0 - Criação da Campanha de Remarketing de CPL</t>
  </si>
  <si>
    <t>https://hotmart.com/pt-BR/club/am-insider/products/6130002/content/37d8aZXX7L</t>
  </si>
  <si>
    <t>SCRIPT DOS CPLS</t>
  </si>
  <si>
    <t>ID de Script para Lançamento Clássico Parte I</t>
  </si>
  <si>
    <t>https://hotmart.com/pt-BR/club/am-insider/products/6130002/content/y4P9Dgrxex</t>
  </si>
  <si>
    <t>ID de Script para Lançamento Clássico Parte II</t>
  </si>
  <si>
    <t>https://hotmart.com/pt-BR/club/am-insider/products/6130002/content/V7yx9WEqeJ</t>
  </si>
  <si>
    <t>Pasta 3) Criativos -&gt; Mapa de Criativos -&gt; Seção REMARKETING - ANTECIPAÇÃO</t>
  </si>
  <si>
    <t>Pasta 6) CPLs e VV -&gt; 1) Script CPL 1</t>
  </si>
  <si>
    <t>Pasta 6) CPLs e VV -&gt; 1) Script CPL 2</t>
  </si>
  <si>
    <t xml:space="preserve">Pasta 6) CPLs e VV -&gt; 3) Script CPL 3 e 4) Script VV </t>
  </si>
  <si>
    <t>Pasta 1) Documentação de Lançamento -&gt; 9) Planilha de Tráfego -&gt; RMKT</t>
  </si>
  <si>
    <t>Pasta 5) Notificações -&gt; 3) Lançamentos -&gt; 1) Email  e 2) Whatsapp</t>
  </si>
  <si>
    <t xml:space="preserve">Content Drive 
para produção e e armazenamento de dados de distribuição  </t>
  </si>
  <si>
    <t xml:space="preserve">Pasta 1) Produção -&gt; 4) Gerador de Conteúdo de Aquecimento -&gt; Aba Vídeo de Antecipação </t>
  </si>
  <si>
    <t>⚠️ ATENÇÃO! Durante o período de Captação você deve Otimizar o Orçamento da sua campanha 1x ao dia todos os dias; Otimizar criativos duas vezes na semana; 
      Otimizar os públicos 1x na semana.</t>
  </si>
  <si>
    <r>
      <rPr>
        <sz val="10"/>
        <color theme="1"/>
        <rFont val="Rubik"/>
      </rPr>
      <t>V</t>
    </r>
    <r>
      <rPr>
        <sz val="10"/>
        <color theme="1"/>
        <rFont val="Rubik"/>
      </rPr>
      <t>erifique se suas campanhas de captação, programadas na semana passada, estão ativas conforme a data programada</t>
    </r>
  </si>
  <si>
    <t>Coloque o Link da página captação na bio do Instagram, com um CTA atrativo</t>
  </si>
  <si>
    <t xml:space="preserve">Crie 1 post antecipando o seu lançamento e fixe no feed no início da captação. Esse post deve explicar sobre o que será o evento, quando e como se inscrever. </t>
  </si>
  <si>
    <r>
      <rPr>
        <sz val="10"/>
        <color rgb="FF000000"/>
        <rFont val="Rubik"/>
      </rPr>
      <t>Coloque 1 post fixado mostrando as provas do seu produto, com d</t>
    </r>
    <r>
      <rPr>
        <sz val="10"/>
        <color rgb="FF000000"/>
        <rFont val="Rubik"/>
      </rPr>
      <t>epoimentos de alunos, mensagens recebidas, print do direct etc.</t>
    </r>
  </si>
  <si>
    <t xml:space="preserve">Envie a mensagem de boas vindas (preparada no ciclo anterior) no grupo do Whatsapp a cada 100 novos leads ou a cada 3 dias. </t>
  </si>
  <si>
    <r>
      <rPr>
        <sz val="10"/>
        <color rgb="FF000000"/>
        <rFont val="Rubik"/>
      </rPr>
      <t xml:space="preserve">A campanha de Remarketing de Aquecimento tem por objetivo </t>
    </r>
    <r>
      <rPr>
        <b/>
        <sz val="10"/>
        <color rgb="FF000000"/>
        <rFont val="Rubik"/>
      </rPr>
      <t xml:space="preserve">aumentar o número de visualizações das lives de aquecimento. </t>
    </r>
    <r>
      <rPr>
        <sz val="10"/>
        <color rgb="FF000000"/>
        <rFont val="Rubik"/>
      </rPr>
      <t xml:space="preserve">Isso é muito importante conscientizar a lead sobre oportunidade de Roma, fazendo </t>
    </r>
    <r>
      <rPr>
        <i/>
        <sz val="10"/>
        <color rgb="FF000000"/>
        <rFont val="Rubik"/>
      </rPr>
      <t>seeding</t>
    </r>
    <r>
      <rPr>
        <sz val="10"/>
        <color rgb="FF000000"/>
        <rFont val="Rubik"/>
      </rPr>
      <t xml:space="preserve"> para o evento de pré-lançamento e a oferta. 
Programe a campanha para começar 3 dias após o início da captação de leads. </t>
    </r>
  </si>
  <si>
    <t>Material complementar - Remarketing de Aquecimento</t>
  </si>
  <si>
    <t>Crie uma campanha de alcance</t>
  </si>
  <si>
    <t>Adicione o conjunto de anúncios de Inscritos no lançamento (público da página de obrigado + página de inscrição 180D + envolvimendo 30D)</t>
  </si>
  <si>
    <t xml:space="preserve">Crie um anúncio informando sobre as Lives de Aquecimento, com um CTA que encaminhe para a uma Playlist com as Lives de Aquecimento  </t>
  </si>
  <si>
    <t>Publique o Reels com o Tema que foi definido no Ciclo de Preparação.</t>
  </si>
  <si>
    <t>Publique os stories com o tema definido no Ciclo de Preparação.</t>
  </si>
  <si>
    <t>Envie o áudio de whatsapp com o tema definido no Ciclo de Preparação.</t>
  </si>
  <si>
    <t>Realize a 1ª Live de Aquecimento</t>
  </si>
  <si>
    <t xml:space="preserve">No lançamento clássio consideramos uma lista de pelo menos 1000 leads, o que permite que seja relaizadas campanhas de remarketing. Utilizamos campanha de remarketing para três finalidades: 
- Antecipação do evento de lançamento
- CPL no ar 
- Carrinho aberto. 
Para cada campanha, são necessárias quantidades de criativos. </t>
  </si>
  <si>
    <t>Utilize o documento 1, para planejar seus criativos de remarketing</t>
  </si>
  <si>
    <t>Material complementar - Criativos de Remarketing</t>
  </si>
  <si>
    <t>Crie todos os 7 criativos de Lembrete (antecipação e aquecimento)</t>
  </si>
  <si>
    <t>Crie todos os 4 criativos de CPL's no ar</t>
  </si>
  <si>
    <t>Crie todos os 7 criativos de Carrinho Aberto</t>
  </si>
  <si>
    <r>
      <rPr>
        <sz val="10"/>
        <color rgb="FF000000"/>
        <rFont val="Rubik"/>
      </rPr>
      <t xml:space="preserve">Para ter melhores resultados na sua campanha de captação de leads, você deverá fazer a </t>
    </r>
    <r>
      <rPr>
        <b/>
        <sz val="10"/>
        <color rgb="FF000000"/>
        <rFont val="Rubik"/>
      </rPr>
      <t xml:space="preserve">otimização da campanha, </t>
    </r>
    <r>
      <rPr>
        <sz val="10"/>
        <color rgb="FF000000"/>
        <rFont val="Rubik"/>
      </rPr>
      <t xml:space="preserve">a partir do dia seguinte ao início da campanha.
Otimização nada mais é do que </t>
    </r>
    <r>
      <rPr>
        <b/>
        <sz val="10"/>
        <color rgb="FF000000"/>
        <rFont val="Rubik"/>
      </rPr>
      <t>melhorar os resultados da campanha, a partir dos resultados obtidos até então.</t>
    </r>
  </si>
  <si>
    <t>Utilize o documento 2, para planilhar as métricas da campanha.</t>
  </si>
  <si>
    <t xml:space="preserve">Facebook </t>
  </si>
  <si>
    <t>Google</t>
  </si>
  <si>
    <t xml:space="preserve">Material Complementar - Otimização </t>
  </si>
  <si>
    <r>
      <rPr>
        <b/>
        <sz val="10"/>
        <color theme="1"/>
        <rFont val="Rubik"/>
      </rPr>
      <t xml:space="preserve">1. </t>
    </r>
    <r>
      <rPr>
        <sz val="10"/>
        <color theme="1"/>
        <rFont val="Rubik"/>
      </rPr>
      <t>Otimize o Orçamento da campanha de leads.</t>
    </r>
  </si>
  <si>
    <r>
      <rPr>
        <b/>
        <sz val="10"/>
        <color theme="1"/>
        <rFont val="Rubik"/>
      </rPr>
      <t>1.</t>
    </r>
    <r>
      <rPr>
        <sz val="10"/>
        <color theme="1"/>
        <rFont val="Rubik"/>
      </rPr>
      <t xml:space="preserve"> Otimize o Orçamento da campanha de leads </t>
    </r>
  </si>
  <si>
    <r>
      <rPr>
        <b/>
        <sz val="10"/>
        <color theme="1"/>
        <rFont val="Rubik"/>
      </rPr>
      <t xml:space="preserve">2. </t>
    </r>
    <r>
      <rPr>
        <sz val="10"/>
        <color theme="1"/>
        <rFont val="Rubik"/>
      </rPr>
      <t xml:space="preserve">Otimize os ajustes de lance de CPA </t>
    </r>
  </si>
  <si>
    <t>Realize a 2ª Live de Aquecimento</t>
  </si>
  <si>
    <r>
      <rPr>
        <i/>
        <u/>
        <sz val="10"/>
        <color rgb="FF1155CC"/>
        <rFont val="Rubik"/>
      </rPr>
      <t>Material complementar</t>
    </r>
    <r>
      <rPr>
        <i/>
        <sz val="10"/>
        <color rgb="FF000000"/>
        <rFont val="Rubik"/>
      </rPr>
      <t xml:space="preserve"> - Remarketing de Antecipação</t>
    </r>
  </si>
  <si>
    <r>
      <rPr>
        <sz val="10"/>
        <color theme="1"/>
        <rFont val="Rubik"/>
      </rPr>
      <t xml:space="preserve">Crie um vídeo de </t>
    </r>
    <r>
      <rPr>
        <u/>
        <sz val="10"/>
        <color theme="1"/>
        <rFont val="Rubik"/>
      </rPr>
      <t>5 minutos</t>
    </r>
    <r>
      <rPr>
        <sz val="10"/>
        <color theme="1"/>
        <rFont val="Rubik"/>
      </rPr>
      <t xml:space="preserve"> antecipando o evento. Aproveite para mostrar a </t>
    </r>
    <r>
      <rPr>
        <b/>
        <sz val="10"/>
        <color theme="1"/>
        <rFont val="Rubik"/>
      </rPr>
      <t>oportunidade</t>
    </r>
    <r>
      <rPr>
        <sz val="10"/>
        <color theme="1"/>
        <rFont val="Rubik"/>
      </rPr>
      <t xml:space="preserve"> do que o avatar </t>
    </r>
    <r>
      <rPr>
        <b/>
        <sz val="10"/>
        <color theme="1"/>
        <rFont val="Rubik"/>
      </rPr>
      <t>aprenderá nos CPLs</t>
    </r>
    <r>
      <rPr>
        <sz val="10"/>
        <color theme="1"/>
        <rFont val="Rubik"/>
      </rPr>
      <t xml:space="preserve">. </t>
    </r>
  </si>
  <si>
    <t>Utilize o documento 8 para estruturar o criativo da campanha de Antecipação</t>
  </si>
  <si>
    <t xml:space="preserve">Crie uma campanha de alcance </t>
  </si>
  <si>
    <t>Adicione o conjunto de anúncios de Inscritos no lançamento (público da página de obrigado 180D + envolvimento 30D)</t>
  </si>
  <si>
    <t>Otimize o Orçamento da campanha de leads</t>
  </si>
  <si>
    <t>Otimize os Criativos da campanha na quarta-feira</t>
  </si>
  <si>
    <t xml:space="preserve">Otimize os ajustes de lance de CPA </t>
  </si>
  <si>
    <t>Crie um público de quem Vizualizou o Anúncio 25%</t>
  </si>
  <si>
    <t>Realize a 3ª Live de Aquecimento</t>
  </si>
  <si>
    <t>Utilize o documento 3, para fazer o script do CPL 1</t>
  </si>
  <si>
    <t>Material Complementar - Script CPL 1</t>
  </si>
  <si>
    <r>
      <rPr>
        <sz val="10"/>
        <color theme="1"/>
        <rFont val="Rubik"/>
      </rPr>
      <t xml:space="preserve">Selecione ao lado o tipo de arquétipo que irá usar
</t>
    </r>
    <r>
      <rPr>
        <sz val="9"/>
        <color rgb="FF0079B8"/>
        <rFont val="Rubik"/>
      </rPr>
      <t xml:space="preserve">     Obs: selecione apenas um</t>
    </r>
  </si>
  <si>
    <t>Jeito Errado / Jeito Certo</t>
  </si>
  <si>
    <t>Oportunidade / Oportunidade Amplificada</t>
  </si>
  <si>
    <t>Escreva o Roteiro do CPL 1 no documento especificado no seu Launch Drive</t>
  </si>
  <si>
    <t>Otimize os Públicos da campanha na quinta-feira</t>
  </si>
  <si>
    <t>Otimize os ajustes de lance de CPA</t>
  </si>
  <si>
    <t>Realize a 4ª Live de Aquecimento</t>
  </si>
  <si>
    <t>Utilize o documento 4, para criar o script do CPL 2</t>
  </si>
  <si>
    <t>Material Complementar - Script CPL 2</t>
  </si>
  <si>
    <t>Escreva o Roteiro do CPL 2 seguindo o arquétipo do CPL 1</t>
  </si>
  <si>
    <t>Utilize o documento 5, para criar o script do CPL 3 e Vídeo de Vendas</t>
  </si>
  <si>
    <t>Material Complementar - Script CPL 3 e Vídeo de Vendas</t>
  </si>
  <si>
    <r>
      <rPr>
        <sz val="10"/>
        <color theme="1"/>
        <rFont val="Rubik"/>
      </rPr>
      <t xml:space="preserve">Selecione ao lado o tipo de arquétipo que irá usar
</t>
    </r>
    <r>
      <rPr>
        <sz val="9"/>
        <color rgb="FF0079B8"/>
        <rFont val="Rubik"/>
      </rPr>
      <t>Obs: o arquétipo do CPL 3 é diferente dos CPLs 1 e 2, escolha apenas 1 dos 3 arquétipos ao lado.</t>
    </r>
  </si>
  <si>
    <t>Índice / Mapa</t>
  </si>
  <si>
    <t>Perguntas e Respostas</t>
  </si>
  <si>
    <t>Amostra</t>
  </si>
  <si>
    <t xml:space="preserve">Escreva o Roteiro do CPL 3 seguindo o arquétipo escolhido </t>
  </si>
  <si>
    <t>Escreva o Roteiro do Video de Vendas</t>
  </si>
  <si>
    <t>Otimize os Criativos da campanha no sábado</t>
  </si>
  <si>
    <t>Realize a 5ª Live de Aquecimento</t>
  </si>
  <si>
    <r>
      <rPr>
        <i/>
        <u/>
        <sz val="10"/>
        <color rgb="FF1155CC"/>
        <rFont val="Rubik"/>
      </rPr>
      <t>Material Complementar</t>
    </r>
    <r>
      <rPr>
        <i/>
        <sz val="10"/>
        <rFont val="Rubik"/>
      </rPr>
      <t xml:space="preserve"> - Planejamento de Investimento para RMKT </t>
    </r>
  </si>
  <si>
    <t>Material Complementar - Campanha de Remarketing de CPL</t>
  </si>
  <si>
    <t>Facebook</t>
  </si>
  <si>
    <t xml:space="preserve">Crie o público do seu Blog de Lançamento </t>
  </si>
  <si>
    <r>
      <rPr>
        <sz val="10"/>
        <color theme="1"/>
        <rFont val="Rubik"/>
      </rPr>
      <t>Crie uma campanha com o objetivo de tráfego para o seu CPL 1</t>
    </r>
    <r>
      <rPr>
        <sz val="10"/>
        <color rgb="FF0079B8"/>
        <rFont val="Rubik"/>
      </rPr>
      <t xml:space="preserve">   </t>
    </r>
  </si>
  <si>
    <t>Crie uma campanha de vídeo sem meta para o seu CPL 1</t>
  </si>
  <si>
    <t>Crie os conjuntos de anúncios de inscritos no lançamento, pessoas que chegaram no checkout/página de vendas/CPLs dos lançamentos anteriores, lista completa de e-mails e envolvimento 7D</t>
  </si>
  <si>
    <t>Crie os grupos de anúncios de inscritos no lançamento, pessoas que chegaram no checkout / página de vendas / CPLs dos lançamentos anteriores, lista completa de e-mails e inscritos no seu canal do youtube</t>
  </si>
  <si>
    <t>Crie seus anúncios para o remarketing avisando que a aula está disponível, adicionando o vídeo/imagem, texto principal (copy), título e CTA.</t>
  </si>
  <si>
    <t>Crie seus anúncios para o remarketing avisando que a aula está disponível, adicionando o vídeo não-listado do Youtube</t>
  </si>
  <si>
    <t>Repita este mesmo processo para os CPLs 2 e 3</t>
  </si>
  <si>
    <t>Utilize o documento 2, para planilhar as métricas da campanha</t>
  </si>
  <si>
    <t>Publique o Reels de com o Tema que foi definido no Ciclo de Preparação</t>
  </si>
  <si>
    <t>Publique os stories com o tema definido no Ciclo de Preparação</t>
  </si>
  <si>
    <t>Envie o áudio de whatsapp com o tema definido no Ciclo de Preparação</t>
  </si>
  <si>
    <t>Realize a 6ª live de aquecimento</t>
  </si>
  <si>
    <t>Envie o e-mail e a mensagem no grupo de Whatspp de "Faltam 7 dias"</t>
  </si>
  <si>
    <r>
      <rPr>
        <sz val="10"/>
        <color theme="1"/>
        <rFont val="Rubik"/>
      </rPr>
      <t>A</t>
    </r>
    <r>
      <rPr>
        <sz val="10"/>
        <color theme="1"/>
        <rFont val="Rubik"/>
      </rPr>
      <t>pós criar todos os Roteiros, grave os seus CPLS e VV, e inclua os arquivos na pasta ARQUIVOS DE CPLS E VV</t>
    </r>
  </si>
  <si>
    <t>Edite os vídeos da gravação dos CPLs e Vídeo de Vendas no editor de vídeo de sua preferência</t>
  </si>
  <si>
    <r>
      <rPr>
        <sz val="10"/>
        <rFont val="Rubik"/>
      </rPr>
      <t xml:space="preserve">Incorpore os seus videos de CPL ao seu Blog de Lançamento - </t>
    </r>
    <r>
      <rPr>
        <sz val="10"/>
        <color rgb="FF00547F"/>
        <rFont val="Rubik"/>
      </rPr>
      <t xml:space="preserve">📓 </t>
    </r>
    <r>
      <rPr>
        <u/>
        <sz val="10"/>
        <color rgb="FF00547F"/>
        <rFont val="Rubik"/>
      </rPr>
      <t>Tutorial Hotmart: Por dentro do Blog de Lançamento</t>
    </r>
  </si>
  <si>
    <t>Otimize os Criativos da campanha na terça-feira</t>
  </si>
  <si>
    <t>Publique o Reels com o Tema que foi definido no Ciclo de Preparação</t>
  </si>
  <si>
    <t xml:space="preserve">Realize a 7ª Live de Aquecimento </t>
  </si>
  <si>
    <t xml:space="preserve">Durante o período de captação, os seus conteúdos são voltados para aquecer as leads inscritas. Durante a semana de Pré-lançamento (liberação dos CPLs), você deverá continuar com conteúdos de atração para o evento, pois a sua captação orgânica  continua até o dia da liberação do CPL 3. 
Por isso, pense nesses conteúdos estrategicamente para aumentar as visualizações dos CPLs, gerando desejo e oportunidade de Roma. </t>
  </si>
  <si>
    <t xml:space="preserve">Importante: durante o período de CPLs, o foco deve estar em conteúdo nutella/reels e stories. </t>
  </si>
  <si>
    <t xml:space="preserve">Use o documento listado em Materiais de Apoio descrito no início dessa seção. </t>
  </si>
  <si>
    <t xml:space="preserve">Reels / Nutella </t>
  </si>
  <si>
    <r>
      <rPr>
        <sz val="10"/>
        <color theme="1"/>
        <rFont val="Rubik"/>
      </rPr>
      <t xml:space="preserve">Defina </t>
    </r>
    <r>
      <rPr>
        <b/>
        <sz val="10"/>
        <color theme="1"/>
        <rFont val="Rubik"/>
      </rPr>
      <t>7 temas</t>
    </r>
    <r>
      <rPr>
        <sz val="10"/>
        <color theme="1"/>
        <rFont val="Rubik"/>
      </rPr>
      <t xml:space="preserve"> que conectam com seu avatar e que esteja alinhado à </t>
    </r>
    <r>
      <rPr>
        <b/>
        <sz val="10"/>
        <color theme="1"/>
        <rFont val="Rubik"/>
      </rPr>
      <t xml:space="preserve">Oportunidade do Evento de Pré-lançamento </t>
    </r>
    <r>
      <rPr>
        <sz val="10"/>
        <color theme="1"/>
        <rFont val="Rubik"/>
      </rPr>
      <t>e que intensifiquem o Aquecimento</t>
    </r>
  </si>
  <si>
    <t>Otimize os Públicos da campanha na quarta-feira</t>
  </si>
  <si>
    <t>Realize a 8ª Live de Aquecimento</t>
  </si>
  <si>
    <t xml:space="preserve">Utilize o documento 6, para se inspirar nas copies das notificações </t>
  </si>
  <si>
    <t>E-mails</t>
  </si>
  <si>
    <t xml:space="preserve">        Notificações de E-mail</t>
  </si>
  <si>
    <t>Data</t>
  </si>
  <si>
    <r>
      <rPr>
        <b/>
        <sz val="10"/>
        <color theme="1"/>
        <rFont val="Rubik"/>
      </rPr>
      <t>E</t>
    </r>
    <r>
      <rPr>
        <sz val="10"/>
        <color theme="1"/>
        <rFont val="Rubik"/>
      </rPr>
      <t>-mail CPL1 no ar</t>
    </r>
  </si>
  <si>
    <t>Reforço e-mail CPL1 no ar</t>
  </si>
  <si>
    <t>E-mail CPL2 no ar</t>
  </si>
  <si>
    <r>
      <rPr>
        <b/>
        <sz val="10"/>
        <color theme="1"/>
        <rFont val="Rubik"/>
      </rPr>
      <t>Reforço e</t>
    </r>
    <r>
      <rPr>
        <sz val="10"/>
        <color theme="1"/>
        <rFont val="Rubik"/>
      </rPr>
      <t>-mail CPL2 no ar - Reforço</t>
    </r>
  </si>
  <si>
    <t xml:space="preserve">E-mail CPL3 no ar </t>
  </si>
  <si>
    <t>E-mail Boa e a Má Notícia (Efeito Tsunami)</t>
  </si>
  <si>
    <r>
      <rPr>
        <sz val="10"/>
        <color theme="1"/>
        <rFont val="Rubik"/>
      </rPr>
      <t>E-mail Seu Acesso Vai Ser Cancelado -</t>
    </r>
    <r>
      <rPr>
        <sz val="10"/>
        <color rgb="FFD92365"/>
        <rFont val="Rubik"/>
      </rPr>
      <t xml:space="preserve"> </t>
    </r>
    <r>
      <rPr>
        <b/>
        <sz val="9"/>
        <color rgb="FF0087CC"/>
        <rFont val="Rubik"/>
      </rPr>
      <t>apenas para quem não abriu o e-mail anterior</t>
    </r>
  </si>
  <si>
    <t>E-mail Instruções para Amanhã</t>
  </si>
  <si>
    <t>WhatsApp / Telegram</t>
  </si>
  <si>
    <t xml:space="preserve">        Notificações de WhatsApp</t>
  </si>
  <si>
    <t>CPL 1 no ar - Chamada 1</t>
  </si>
  <si>
    <t>CPL 1 no ar - Chamada 2</t>
  </si>
  <si>
    <t>Reforço CPL 1 - Chamada 1</t>
  </si>
  <si>
    <t>Reforço CPL 1 - Chamada 2</t>
  </si>
  <si>
    <t>CPL 2 no ar - Chamada 1</t>
  </si>
  <si>
    <t>CPL 2 no ar - Chamada 2</t>
  </si>
  <si>
    <t>Reforço CPL 2 - Chamada 1</t>
  </si>
  <si>
    <t>Reforço CPL 2 - Chamada 2</t>
  </si>
  <si>
    <t>CPL 3 no ar - Chamada 1</t>
  </si>
  <si>
    <t>CPL 3 no ar - Chamada 2</t>
  </si>
  <si>
    <t>Efeito Tsunami- Chamada 1</t>
  </si>
  <si>
    <t>Efeito Tsunami- Chamada 2</t>
  </si>
  <si>
    <t>Efeito Tsunami- Chamada 3</t>
  </si>
  <si>
    <t>Instruções para Amanhã</t>
  </si>
  <si>
    <t>Realize a 9ª live de aquecimento</t>
  </si>
  <si>
    <t>Envie o e-mail e a mensagem no grupo de Whatspp de "Faltam 4 dias"</t>
  </si>
  <si>
    <t>Publique os stories com o tema definido na no Ciclo de Preparação</t>
  </si>
  <si>
    <t>Envie o e-mail e a mensagem no grupo de Whatspp de "É Amanhã!"</t>
  </si>
  <si>
    <t>Realize a 10ª live aquecimento</t>
  </si>
  <si>
    <r>
      <rPr>
        <b/>
        <sz val="9"/>
        <color rgb="FF4FA8F0"/>
        <rFont val="Helvetica Neue"/>
      </rPr>
      <t>Semana 2 |</t>
    </r>
    <r>
      <rPr>
        <sz val="9"/>
        <color rgb="FF4FA8F0"/>
        <rFont val="Helvetica Neue"/>
      </rPr>
      <t xml:space="preserve"> Lançamento Semente</t>
    </r>
  </si>
  <si>
    <t xml:space="preserve">📅 Agenda da Semana </t>
  </si>
  <si>
    <r>
      <rPr>
        <b/>
        <sz val="10"/>
        <color rgb="FFFFFFFF"/>
        <rFont val="Montserrat, Arial"/>
      </rPr>
      <t>1.</t>
    </r>
    <r>
      <rPr>
        <b/>
        <sz val="10"/>
        <color rgb="FF0000FF"/>
        <rFont val="Montserrat, Arial"/>
      </rPr>
      <t xml:space="preserve"> </t>
    </r>
    <r>
      <rPr>
        <sz val="10"/>
        <color rgb="FFFFFFFF"/>
        <rFont val="Montserrat, Arial"/>
      </rPr>
      <t>Configurando Comunidade do WhatsApp</t>
    </r>
  </si>
  <si>
    <r>
      <rPr>
        <b/>
        <sz val="9"/>
        <color rgb="FF00547F"/>
        <rFont val="Montserrat, Arial"/>
      </rPr>
      <t xml:space="preserve">📓 </t>
    </r>
    <r>
      <rPr>
        <b/>
        <u/>
        <sz val="9"/>
        <color rgb="FF00547F"/>
        <rFont val="Montserrat, Arial"/>
      </rPr>
      <t>Tutorial de como Criar Comunidade e Convidar Pessoas</t>
    </r>
  </si>
  <si>
    <r>
      <rPr>
        <b/>
        <sz val="10"/>
        <color theme="1"/>
        <rFont val="&quot;Helvetica Neue&quot;, Arial"/>
      </rPr>
      <t xml:space="preserve">1. </t>
    </r>
    <r>
      <rPr>
        <sz val="10"/>
        <color theme="1"/>
        <rFont val="&quot;Helvetica Neue&quot;, Arial"/>
      </rPr>
      <t xml:space="preserve">Escolha um nome para a comunidade que identifique o seu evento e o número para a identificação da comunidade: </t>
    </r>
    <r>
      <rPr>
        <sz val="10"/>
        <color rgb="FF0087CC"/>
        <rFont val="&quot;Helvetica Neue&quot;, Arial"/>
      </rPr>
      <t>Exemplo: Jornada 6em7 #1</t>
    </r>
  </si>
  <si>
    <r>
      <rPr>
        <b/>
        <sz val="10"/>
        <color theme="1"/>
        <rFont val="&quot;Helvetica Neue&quot;, Arial"/>
      </rPr>
      <t xml:space="preserve">2. </t>
    </r>
    <r>
      <rPr>
        <sz val="10"/>
        <color theme="1"/>
        <rFont val="&quot;Helvetica Neue&quot;, Arial"/>
      </rPr>
      <t>Crie uma “capa” para inserir nas suas comunidades.</t>
    </r>
  </si>
  <si>
    <r>
      <rPr>
        <b/>
        <sz val="10"/>
        <color theme="1"/>
        <rFont val="&quot;Helvetica Neue&quot;, Arial"/>
      </rPr>
      <t>3.</t>
    </r>
    <r>
      <rPr>
        <sz val="10"/>
        <color theme="1"/>
        <rFont val="&quot;Helvetica Neue&quot;, Arial"/>
      </rPr>
      <t xml:space="preserve"> Certifique-se de adicionar administradores para as comunidades, por segurança no mínimo 3 administradores.</t>
    </r>
  </si>
  <si>
    <r>
      <rPr>
        <b/>
        <sz val="10"/>
        <color theme="1"/>
        <rFont val="&quot;Helvetica Neue&quot;, Arial"/>
      </rPr>
      <t xml:space="preserve">4. </t>
    </r>
    <r>
      <rPr>
        <sz val="10"/>
        <color theme="1"/>
        <rFont val="&quot;Helvetica Neue&quot;, Arial"/>
      </rPr>
      <t>A quantidade de comunidades criadas vai depender da sua meta de captação de leads, cada comunidade cabe, em média, 2.000 pessoas.</t>
    </r>
  </si>
  <si>
    <r>
      <rPr>
        <b/>
        <sz val="10"/>
        <color theme="1"/>
        <rFont val="&quot;Helvetica Neue&quot;, Arial"/>
      </rPr>
      <t xml:space="preserve">5. </t>
    </r>
    <r>
      <rPr>
        <sz val="10"/>
        <color theme="1"/>
        <rFont val="&quot;Helvetica Neue&quot;, Arial"/>
      </rPr>
      <t>Em cada chip de celular, crie no máximo 50 comunidades.</t>
    </r>
  </si>
  <si>
    <r>
      <rPr>
        <b/>
        <sz val="10"/>
        <color theme="1"/>
        <rFont val="&quot;Helvetica Neue&quot;, Arial"/>
      </rPr>
      <t>6.</t>
    </r>
    <r>
      <rPr>
        <sz val="10"/>
        <color theme="1"/>
        <rFont val="&quot;Helvetica Neue&quot;, Arial"/>
      </rPr>
      <t xml:space="preserve"> Adicione a descrição nas comunidades.</t>
    </r>
  </si>
  <si>
    <r>
      <rPr>
        <b/>
        <sz val="10"/>
        <color rgb="FFFFFFFF"/>
        <rFont val="Montserrat, Arial"/>
      </rPr>
      <t>3.</t>
    </r>
    <r>
      <rPr>
        <sz val="10"/>
        <color rgb="FFFFFFFF"/>
        <rFont val="Montserrat, Arial"/>
      </rPr>
      <t xml:space="preserve"> Mensagem de Boas-Vindas</t>
    </r>
  </si>
  <si>
    <r>
      <rPr>
        <sz val="9"/>
        <color rgb="FF0079B8"/>
        <rFont val="&quot;Helvetica Neue&quot;, Arial"/>
      </rPr>
      <t>📂 Acesse:</t>
    </r>
    <r>
      <rPr>
        <sz val="9"/>
        <color rgb="FF0079B8"/>
        <rFont val="&quot;Helvetica Neue&quot;, Arial"/>
      </rPr>
      <t xml:space="preserve"> LAUNCH DRIVE  ➔  5) NOTIFICAÇÕES  ➔  2) WHATSAPP OU TELEGRAM  ➔  1) BOAS VINDAS + PESQUISA</t>
    </r>
  </si>
  <si>
    <r>
      <rPr>
        <b/>
        <sz val="10"/>
        <color theme="1"/>
        <rFont val="&quot;Helvetica Neue&quot;, Arial"/>
      </rPr>
      <t>7.</t>
    </r>
    <r>
      <rPr>
        <sz val="10"/>
        <color theme="1"/>
        <rFont val="&quot;Helvetica Neue&quot;, Arial"/>
      </rPr>
      <t xml:space="preserve"> Crie uma mensagem de boas-vindas usando o Script BOAS-VINDAS + PESQUISA DE AVATAR disponível no seu Launch Drive </t>
    </r>
    <r>
      <rPr>
        <i/>
        <sz val="10"/>
        <color theme="1"/>
        <rFont val="&quot;Helvetica Neue&quot;, Arial"/>
      </rPr>
      <t>(passe o mouse aqui pra ler um exemplo)</t>
    </r>
  </si>
  <si>
    <r>
      <rPr>
        <b/>
        <sz val="10"/>
        <color theme="1"/>
        <rFont val="&quot;Helvetica Neue&quot;, Arial"/>
      </rPr>
      <t xml:space="preserve">8. </t>
    </r>
    <r>
      <rPr>
        <sz val="10"/>
        <color theme="1"/>
        <rFont val="&quot;Helvetica Neue&quot;, Arial"/>
      </rPr>
      <t>Depois de criar a mensagem na plataforma, basta selecionar a opção de “boas-vindas” que a mensagem será disparada automaticamente quando a comunidade lotar.</t>
    </r>
  </si>
  <si>
    <r>
      <rPr>
        <b/>
        <sz val="10"/>
        <color rgb="FFFFFFFF"/>
        <rFont val="Montserrat, Arial"/>
      </rPr>
      <t xml:space="preserve">4. </t>
    </r>
    <r>
      <rPr>
        <sz val="10"/>
        <color rgb="FFFFFFFF"/>
        <rFont val="Montserrat, Arial"/>
      </rPr>
      <t>Convidar para a comunidade</t>
    </r>
  </si>
  <si>
    <t xml:space="preserve">Convide sua lista de inscritos no lançamento para entrar no grupo (Distribuição de links) </t>
  </si>
  <si>
    <r>
      <rPr>
        <b/>
        <sz val="10"/>
        <color theme="1"/>
        <rFont val="&quot;Helvetica Neue&quot;, Arial"/>
      </rPr>
      <t xml:space="preserve">9. </t>
    </r>
    <r>
      <rPr>
        <sz val="10"/>
        <color theme="1"/>
        <rFont val="&quot;Helvetica Neue&quot;, Arial"/>
      </rPr>
      <t>Na página de obrigado do seu lançamento insira o link/botão que leve para a sua comunidade de WhatsApp.</t>
    </r>
  </si>
  <si>
    <r>
      <rPr>
        <b/>
        <sz val="10"/>
        <color theme="1"/>
        <rFont val="&quot;Helvetica Neue&quot;, Arial"/>
      </rPr>
      <t xml:space="preserve">10. </t>
    </r>
    <r>
      <rPr>
        <sz val="10"/>
        <color theme="1"/>
        <rFont val="&quot;Helvetica Neue&quot;, Arial"/>
      </rPr>
      <t>No E-mail de confirmação de inscrição disponibilize o link para entrar na comunidade WhatsApp</t>
    </r>
  </si>
  <si>
    <r>
      <rPr>
        <b/>
        <sz val="10"/>
        <color theme="1"/>
        <rFont val="&quot;Helvetica Neue&quot;, Arial"/>
      </rPr>
      <t xml:space="preserve">11. </t>
    </r>
    <r>
      <rPr>
        <sz val="10"/>
        <color theme="1"/>
        <rFont val="&quot;Helvetica Neue&quot;, Arial"/>
      </rPr>
      <t>Enviar mensagem de boas vindas à medida que o grupo lotar (caso não lote o grupo, pode mandar mensagem a cada X pessoas que entrarem ou a cada X dias)</t>
    </r>
  </si>
  <si>
    <t>Pesquisa de Avatar</t>
  </si>
  <si>
    <t>💡 Use o arquivo 6) PESQUISA DE AVATAR disponibilizado no seu Launch Drive e crie a sua pesquisa de avatar que será enviada posteriormente para sua lista</t>
  </si>
  <si>
    <r>
      <rPr>
        <sz val="10"/>
        <color rgb="FF0087CC"/>
        <rFont val="&quot;Helvetica Neue&quot;, Arial"/>
      </rPr>
      <t xml:space="preserve">📂 </t>
    </r>
    <r>
      <rPr>
        <b/>
        <sz val="10"/>
        <color rgb="FF0087CC"/>
        <rFont val="&quot;Helvetica Neue&quot;, Arial"/>
      </rPr>
      <t>Acesse:</t>
    </r>
    <r>
      <rPr>
        <sz val="10"/>
        <color rgb="FF0087CC"/>
        <rFont val="&quot;Helvetica Neue&quot;, Arial"/>
      </rPr>
      <t xml:space="preserve">  LAUNCH DRIVE  ➔  1) DOCUMENTAÇÃO DE LANÇAMENTO  ➔  6) PESQUISA DE AVATAR</t>
    </r>
  </si>
  <si>
    <r>
      <rPr>
        <b/>
        <sz val="9"/>
        <color rgb="FF006EA6"/>
        <rFont val="Montserrat, Arial"/>
      </rPr>
      <t xml:space="preserve">👨‍🏫 </t>
    </r>
    <r>
      <rPr>
        <b/>
        <u/>
        <sz val="9"/>
        <color rgb="FF006EA6"/>
        <rFont val="Montserrat, Arial"/>
      </rPr>
      <t>Tutorial de como criar a sua Pesquisa de Avatar</t>
    </r>
  </si>
  <si>
    <r>
      <rPr>
        <b/>
        <sz val="9"/>
        <color rgb="FF006EA6"/>
        <rFont val="Montserrat"/>
      </rPr>
      <t xml:space="preserve">💻 </t>
    </r>
    <r>
      <rPr>
        <b/>
        <u/>
        <sz val="9"/>
        <color rgb="FF006EA6"/>
        <rFont val="Montserrat"/>
      </rPr>
      <t>Sugestão de conteúdo: ID de Ferramentas para LS</t>
    </r>
  </si>
  <si>
    <r>
      <rPr>
        <b/>
        <sz val="10"/>
        <color rgb="FFFFFFFF"/>
        <rFont val="Montserrat, Arial"/>
      </rPr>
      <t>1.</t>
    </r>
    <r>
      <rPr>
        <sz val="10"/>
        <color rgb="FFFFFFFF"/>
        <rFont val="Montserrat, Arial"/>
      </rPr>
      <t xml:space="preserve"> Páginas</t>
    </r>
  </si>
  <si>
    <r>
      <rPr>
        <b/>
        <sz val="10"/>
        <color rgb="FF000000"/>
        <rFont val="&quot;Helvetica Neue&quot;, Arial"/>
      </rPr>
      <t xml:space="preserve">1. </t>
    </r>
    <r>
      <rPr>
        <sz val="10"/>
        <color rgb="FF000000"/>
        <rFont val="&quot;Helvetica Neue&quot;, Arial"/>
      </rPr>
      <t>Aponte o domínio para o HotmartPages - 👨‍🏫</t>
    </r>
    <r>
      <rPr>
        <b/>
        <sz val="10"/>
        <color rgb="FF000000"/>
        <rFont val="&quot;Helvetica Neue&quot;, Arial"/>
      </rPr>
      <t xml:space="preserve"> </t>
    </r>
    <r>
      <rPr>
        <b/>
        <u/>
        <sz val="10"/>
        <color rgb="FF006EA6"/>
        <rFont val="&quot;Helvetica Neue&quot;, Arial"/>
      </rPr>
      <t>Aula de Como Apontar Domínio</t>
    </r>
  </si>
  <si>
    <r>
      <rPr>
        <b/>
        <sz val="10"/>
        <color rgb="FF000000"/>
        <rFont val="&quot;Helvetica Neue&quot;, Arial"/>
      </rPr>
      <t>2.</t>
    </r>
    <r>
      <rPr>
        <sz val="10"/>
        <color rgb="FF000000"/>
        <rFont val="&quot;Helvetica Neue&quot;, Arial"/>
      </rPr>
      <t xml:space="preserve"> Criar página de Inscrição</t>
    </r>
  </si>
  <si>
    <r>
      <rPr>
        <b/>
        <sz val="10"/>
        <color rgb="FF000000"/>
        <rFont val="&quot;Helvetica Neue&quot;, Arial"/>
      </rPr>
      <t>3.</t>
    </r>
    <r>
      <rPr>
        <sz val="10"/>
        <color rgb="FF000000"/>
        <rFont val="&quot;Helvetica Neue&quot;, Arial"/>
      </rPr>
      <t xml:space="preserve"> Criar página de Obrigado</t>
    </r>
  </si>
  <si>
    <r>
      <rPr>
        <b/>
        <sz val="10"/>
        <color rgb="FF000000"/>
        <rFont val="&quot;Helvetica Neue&quot;, Arial"/>
      </rPr>
      <t xml:space="preserve">4. </t>
    </r>
    <r>
      <rPr>
        <sz val="10"/>
        <color rgb="FF000000"/>
        <rFont val="&quot;Helvetica Neue&quot;, Arial"/>
      </rPr>
      <t>Criar página de Termos de Uso</t>
    </r>
  </si>
  <si>
    <r>
      <rPr>
        <b/>
        <sz val="10"/>
        <color rgb="FF000000"/>
        <rFont val="&quot;Helvetica Neue&quot;, Arial"/>
      </rPr>
      <t>5.</t>
    </r>
    <r>
      <rPr>
        <sz val="10"/>
        <color rgb="FF000000"/>
        <rFont val="&quot;Helvetica Neue&quot;, Arial"/>
      </rPr>
      <t xml:space="preserve"> Criar página de Política de Privacidade</t>
    </r>
  </si>
  <si>
    <r>
      <rPr>
        <b/>
        <sz val="10"/>
        <color rgb="FF000000"/>
        <rFont val="&quot;Helvetica Neue&quot;, Arial"/>
      </rPr>
      <t>6.</t>
    </r>
    <r>
      <rPr>
        <sz val="10"/>
        <color rgb="FF000000"/>
        <rFont val="&quot;Helvetica Neue&quot;, Arial"/>
      </rPr>
      <t xml:space="preserve"> Criar página de Replay</t>
    </r>
  </si>
  <si>
    <r>
      <rPr>
        <b/>
        <sz val="10"/>
        <color rgb="FFFFFFFF"/>
        <rFont val="Montserrat, Arial"/>
      </rPr>
      <t xml:space="preserve"> 2. </t>
    </r>
    <r>
      <rPr>
        <sz val="10"/>
        <color rgb="FFFFFFFF"/>
        <rFont val="Montserrat, Arial"/>
      </rPr>
      <t>Transmissão</t>
    </r>
  </si>
  <si>
    <r>
      <rPr>
        <b/>
        <sz val="10"/>
        <color rgb="FF000000"/>
        <rFont val="&quot;Helvetica Neue&quot;, Arial"/>
      </rPr>
      <t xml:space="preserve">1. </t>
    </r>
    <r>
      <rPr>
        <sz val="10"/>
        <color rgb="FF000000"/>
        <rFont val="&quot;Helvetica Neue&quot;, Arial"/>
      </rPr>
      <t xml:space="preserve">Configurar transmissão ao vivo no YouTube - </t>
    </r>
    <r>
      <rPr>
        <sz val="9"/>
        <color rgb="FF000000"/>
        <rFont val="Montserrat"/>
      </rPr>
      <t>📓</t>
    </r>
    <r>
      <rPr>
        <b/>
        <u/>
        <sz val="9"/>
        <color rgb="FF006EA6"/>
        <rFont val="Montserrat"/>
      </rPr>
      <t xml:space="preserve"> </t>
    </r>
    <r>
      <rPr>
        <b/>
        <u/>
        <sz val="10"/>
        <color rgb="FF006EA6"/>
        <rFont val="&quot;Helvetica Neue&quot;, Arial"/>
      </rPr>
      <t>Tutorial de como Configurar Transmissão</t>
    </r>
  </si>
  <si>
    <r>
      <rPr>
        <b/>
        <sz val="10"/>
        <color rgb="FF000000"/>
        <rFont val="&quot;Helvetica Neue&quot;, Arial"/>
      </rPr>
      <t xml:space="preserve">2. </t>
    </r>
    <r>
      <rPr>
        <sz val="10"/>
        <color rgb="FF000000"/>
        <rFont val="&quot;Helvetica Neue&quot;, Arial"/>
      </rPr>
      <t>Habilitar canal para transmissão ao vivo</t>
    </r>
  </si>
  <si>
    <r>
      <rPr>
        <b/>
        <sz val="10"/>
        <color rgb="FF000000"/>
        <rFont val="&quot;Helvetica Neue&quot;, Arial"/>
      </rPr>
      <t xml:space="preserve">3. </t>
    </r>
    <r>
      <rPr>
        <sz val="10"/>
        <color rgb="FF000000"/>
        <rFont val="&quot;Helvetica Neue&quot;, Arial"/>
      </rPr>
      <t>Criar transmissão ao vivo</t>
    </r>
  </si>
  <si>
    <r>
      <rPr>
        <b/>
        <sz val="10"/>
        <color rgb="FF000000"/>
        <rFont val="&quot;Helvetica Neue&quot;, Arial"/>
      </rPr>
      <t>4.</t>
    </r>
    <r>
      <rPr>
        <sz val="10"/>
        <color rgb="FF000000"/>
        <rFont val="&quot;Helvetica Neue&quot;, Arial"/>
      </rPr>
      <t xml:space="preserve"> Testar transmissão</t>
    </r>
  </si>
  <si>
    <r>
      <rPr>
        <b/>
        <sz val="10"/>
        <color rgb="FFFFFFFF"/>
        <rFont val="Montserrat, Arial"/>
      </rPr>
      <t>3.</t>
    </r>
    <r>
      <rPr>
        <sz val="10"/>
        <color rgb="FFFFFFFF"/>
        <rFont val="Montserrat, Arial"/>
      </rPr>
      <t xml:space="preserve"> E-mail Marketing</t>
    </r>
  </si>
  <si>
    <r>
      <rPr>
        <b/>
        <sz val="10"/>
        <color rgb="FF000000"/>
        <rFont val="&quot;Helvetica Neue&quot;, Arial"/>
      </rPr>
      <t>1.</t>
    </r>
    <r>
      <rPr>
        <sz val="10"/>
        <color rgb="FF000000"/>
        <rFont val="&quot;Helvetica Neue&quot;, Arial"/>
      </rPr>
      <t xml:space="preserve"> Crie o seu formulário de inscrição na sua ferramenta de email marketing - </t>
    </r>
    <r>
      <rPr>
        <sz val="9"/>
        <color rgb="FF0079B8"/>
        <rFont val="Montserrat"/>
      </rPr>
      <t>📓</t>
    </r>
    <r>
      <rPr>
        <b/>
        <u/>
        <sz val="9"/>
        <color rgb="FF006EA6"/>
        <rFont val="Montserrat"/>
      </rPr>
      <t xml:space="preserve"> </t>
    </r>
    <r>
      <rPr>
        <b/>
        <u/>
        <sz val="10"/>
        <color rgb="FF006EA6"/>
        <rFont val="&quot;Helvetica Neue&quot;, Arial"/>
      </rPr>
      <t>Tutorial Hotmart - O que É e Como Criar um Formulário</t>
    </r>
  </si>
  <si>
    <r>
      <rPr>
        <b/>
        <sz val="10"/>
        <color rgb="FF000000"/>
        <rFont val="&quot;Helvetica Neue&quot;, Arial"/>
      </rPr>
      <t>2.</t>
    </r>
    <r>
      <rPr>
        <sz val="10"/>
        <color rgb="FF000000"/>
        <rFont val="&quot;Helvetica Neue&quot;, Arial"/>
      </rPr>
      <t xml:space="preserve"> Integre o seu formulário com as suas páginas de lançamento - </t>
    </r>
    <r>
      <rPr>
        <sz val="9"/>
        <color rgb="FF0079B8"/>
        <rFont val="Montserrat"/>
      </rPr>
      <t>📓</t>
    </r>
    <r>
      <rPr>
        <sz val="9"/>
        <color rgb="FFD92365"/>
        <rFont val="Montserrat"/>
      </rPr>
      <t xml:space="preserve"> </t>
    </r>
    <r>
      <rPr>
        <b/>
        <u/>
        <sz val="9"/>
        <color rgb="FF006EA6"/>
        <rFont val="Montserrat"/>
      </rPr>
      <t>Tutorial Hotmart - Como Integrar o Send com o Pages</t>
    </r>
  </si>
  <si>
    <r>
      <rPr>
        <b/>
        <sz val="10"/>
        <color rgb="FF000000"/>
        <rFont val="&quot;Helvetica Neue&quot;, Arial"/>
      </rPr>
      <t xml:space="preserve">3. </t>
    </r>
    <r>
      <rPr>
        <sz val="10"/>
        <color rgb="FF000000"/>
        <rFont val="&quot;Helvetica Neue&quot;, Arial"/>
      </rPr>
      <t>Teste o seu processo de inscrição e garanta que a inscrição está sendo registrada na sua ferramenta de email marketing com a tag correta</t>
    </r>
  </si>
  <si>
    <r>
      <rPr>
        <b/>
        <sz val="10"/>
        <color rgb="FF000000"/>
        <rFont val="&quot;Helvetica Neue&quot;, Arial"/>
      </rPr>
      <t xml:space="preserve">4. </t>
    </r>
    <r>
      <rPr>
        <sz val="10"/>
        <color rgb="FF000000"/>
        <rFont val="&quot;Helvetica Neue&quot;, Arial"/>
      </rPr>
      <t xml:space="preserve">Crie uma sequência na sua ferramenta de email marketing - </t>
    </r>
    <r>
      <rPr>
        <sz val="9"/>
        <color rgb="FF0079B8"/>
        <rFont val="Montserrat"/>
      </rPr>
      <t>📓</t>
    </r>
    <r>
      <rPr>
        <b/>
        <u/>
        <sz val="9"/>
        <color rgb="FF006EA6"/>
        <rFont val="Montserrat"/>
      </rPr>
      <t xml:space="preserve"> </t>
    </r>
    <r>
      <rPr>
        <b/>
        <u/>
        <sz val="10"/>
        <color rgb="FF006EA6"/>
        <rFont val="&quot;Helvetica Neue&quot;, Arial"/>
      </rPr>
      <t>Tutorial Hotmart - O que É e Como Criar uma Sequência</t>
    </r>
  </si>
  <si>
    <r>
      <rPr>
        <b/>
        <sz val="10"/>
        <color rgb="FF000000"/>
        <rFont val="&quot;Helvetica Neue&quot;, Arial"/>
      </rPr>
      <t>5.</t>
    </r>
    <r>
      <rPr>
        <sz val="10"/>
        <color rgb="FF000000"/>
        <rFont val="&quot;Helvetica Neue&quot;, Arial"/>
      </rPr>
      <t xml:space="preserve"> Programe o Email 1) EMAIL DE OBRIGADO + PESQUISA como o primeiro passo da sequência, para ser disparado logo após a lead confirmar a inscrição</t>
    </r>
  </si>
  <si>
    <r>
      <rPr>
        <sz val="9"/>
        <color rgb="FF00547F"/>
        <rFont val="Montserrat, Arial"/>
      </rPr>
      <t xml:space="preserve">📝 </t>
    </r>
    <r>
      <rPr>
        <b/>
        <u/>
        <sz val="9"/>
        <color rgb="FF006EA6"/>
        <rFont val="Montserrat, Arial"/>
      </rPr>
      <t>Clique aqui para abrir o modelo do Email de Obrigado</t>
    </r>
  </si>
  <si>
    <r>
      <rPr>
        <sz val="9"/>
        <color rgb="FF00547F"/>
        <rFont val="Montserrat, Arial"/>
      </rPr>
      <t xml:space="preserve">📝 </t>
    </r>
    <r>
      <rPr>
        <b/>
        <u/>
        <sz val="9"/>
        <color rgb="FF006EA6"/>
        <rFont val="Montserrat, Arial"/>
      </rPr>
      <t>Clique aqui para abrir o modelo de Pesquisa do Avatar</t>
    </r>
  </si>
  <si>
    <r>
      <rPr>
        <b/>
        <sz val="10"/>
        <color rgb="FF000000"/>
        <rFont val="&quot;Helvetica Neue&quot;, Arial"/>
      </rPr>
      <t xml:space="preserve">6. </t>
    </r>
    <r>
      <rPr>
        <sz val="10"/>
        <color rgb="FF000000"/>
        <rFont val="&quot;Helvetica Neue&quot;, Arial"/>
      </rPr>
      <t>Programe o Email 2) CONVITE GRUPO DE WHATSAPP como um passo dentro da mesma sequência para ser disparado 1 dia depois que a lead se inscrever</t>
    </r>
  </si>
  <si>
    <r>
      <rPr>
        <sz val="9"/>
        <color rgb="FF00547F"/>
        <rFont val="Montserrat, Arial"/>
      </rPr>
      <t>📝</t>
    </r>
    <r>
      <rPr>
        <b/>
        <u/>
        <sz val="9"/>
        <color rgb="FF006EA6"/>
        <rFont val="Montserrat, Arial"/>
      </rPr>
      <t xml:space="preserve"> Clique aqui para abrir o modelo de convite para o Grupo de WhatsApp</t>
    </r>
  </si>
  <si>
    <r>
      <rPr>
        <b/>
        <sz val="10"/>
        <color rgb="FF000000"/>
        <rFont val="&quot;Helvetica Neue&quot;, Arial"/>
      </rPr>
      <t>7.</t>
    </r>
    <r>
      <rPr>
        <sz val="10"/>
        <color rgb="FF000000"/>
        <rFont val="&quot;Helvetica Neue&quot;, Arial"/>
      </rPr>
      <t xml:space="preserve"> Integre o Listboss da Hotmart - 📓</t>
    </r>
    <r>
      <rPr>
        <b/>
        <u/>
        <sz val="10"/>
        <color rgb="FF006EA6"/>
        <rFont val="&quot;Helvetica Neue&quot;, Arial"/>
      </rPr>
      <t xml:space="preserve"> Tutorial Hotmart - O que é e como integrar o Listboss?</t>
    </r>
  </si>
  <si>
    <r>
      <rPr>
        <b/>
        <sz val="10"/>
        <color rgb="FFFFFFFF"/>
        <rFont val="Montserrat, Arial"/>
      </rPr>
      <t xml:space="preserve">4. </t>
    </r>
    <r>
      <rPr>
        <sz val="10"/>
        <color rgb="FFFFFFFF"/>
        <rFont val="Montserrat, Arial"/>
      </rPr>
      <t>Criar Produto</t>
    </r>
  </si>
  <si>
    <r>
      <rPr>
        <b/>
        <sz val="10"/>
        <color rgb="FF000000"/>
        <rFont val="&quot;Helvetica Neue&quot;, Arial"/>
      </rPr>
      <t xml:space="preserve">1. </t>
    </r>
    <r>
      <rPr>
        <sz val="10"/>
        <color rgb="FF000000"/>
        <rFont val="&quot;Helvetica Neue&quot;, Arial"/>
      </rPr>
      <t xml:space="preserve">Criar o Produto no Hotmart (ou outro gateway de pagamento) - </t>
    </r>
    <r>
      <rPr>
        <b/>
        <sz val="9"/>
        <color rgb="FF0079B8"/>
        <rFont val="Montserrat"/>
      </rPr>
      <t>📓</t>
    </r>
    <r>
      <rPr>
        <b/>
        <sz val="9"/>
        <color rgb="FF3C78D8"/>
        <rFont val="Montserrat"/>
      </rPr>
      <t xml:space="preserve"> </t>
    </r>
    <r>
      <rPr>
        <b/>
        <u/>
        <sz val="9"/>
        <color rgb="FF00547F"/>
        <rFont val="Montserrat"/>
      </rPr>
      <t>Tutorial Hotmart - Como Cadastrar meu Produto?</t>
    </r>
  </si>
  <si>
    <r>
      <rPr>
        <b/>
        <sz val="10"/>
        <color rgb="FF000000"/>
        <rFont val="&quot;Helvetica Neue&quot;, Arial"/>
      </rPr>
      <t xml:space="preserve">2. </t>
    </r>
    <r>
      <rPr>
        <sz val="10"/>
        <color rgb="FF000000"/>
        <rFont val="&quot;Helvetica Neue&quot;, Arial"/>
      </rPr>
      <t>Solicitar a aprovação do produto com o Hotmart (ou o gateway de pagamento que você utilizar)</t>
    </r>
  </si>
  <si>
    <r>
      <rPr>
        <b/>
        <sz val="10"/>
        <color rgb="FF000000"/>
        <rFont val="&quot;Helvetica Neue&quot;, Arial"/>
      </rPr>
      <t xml:space="preserve">3. </t>
    </r>
    <r>
      <rPr>
        <sz val="10"/>
        <color rgb="FF000000"/>
        <rFont val="&quot;Helvetica Neue&quot;, Arial"/>
      </rPr>
      <t xml:space="preserve">Configurar o Email de Boas-Vindas do produto - </t>
    </r>
    <r>
      <rPr>
        <b/>
        <sz val="9"/>
        <color rgb="FF000000"/>
        <rFont val="Montserrat"/>
      </rPr>
      <t xml:space="preserve">📓 </t>
    </r>
    <r>
      <rPr>
        <b/>
        <u/>
        <sz val="9"/>
        <color rgb="FF00547F"/>
        <rFont val="Montserrat"/>
      </rPr>
      <t>Tutorial Hotmart - Como enviar emails de boas vindas para meus novos assinantes?</t>
    </r>
  </si>
  <si>
    <r>
      <rPr>
        <b/>
        <sz val="10"/>
        <color rgb="FFFFFFFF"/>
        <rFont val="Montserrat, Arial"/>
      </rPr>
      <t xml:space="preserve">5. </t>
    </r>
    <r>
      <rPr>
        <sz val="10"/>
        <color rgb="FFFFFFFF"/>
        <rFont val="Montserrat, Arial"/>
      </rPr>
      <t>Convidar para a comunidade</t>
    </r>
  </si>
  <si>
    <r>
      <rPr>
        <b/>
        <sz val="10"/>
        <color theme="1"/>
        <rFont val="&quot;Helvetica Neue&quot;, Arial"/>
      </rPr>
      <t xml:space="preserve">9. </t>
    </r>
    <r>
      <rPr>
        <sz val="10"/>
        <color theme="1"/>
        <rFont val="&quot;Helvetica Neue&quot;, Arial"/>
      </rPr>
      <t>Na página de obrigado do seu lançamento insira o link/botão que leve para a sua comunidade de WhatsApp.</t>
    </r>
  </si>
  <si>
    <r>
      <rPr>
        <b/>
        <sz val="10"/>
        <color theme="1"/>
        <rFont val="&quot;Helvetica Neue&quot;, Arial"/>
      </rPr>
      <t xml:space="preserve">10. </t>
    </r>
    <r>
      <rPr>
        <sz val="10"/>
        <color theme="1"/>
        <rFont val="&quot;Helvetica Neue&quot;, Arial"/>
      </rPr>
      <t>No E-mail de confirmação de inscrição disponibilize o link para entrar na comunidade WhatsApp</t>
    </r>
  </si>
  <si>
    <r>
      <rPr>
        <b/>
        <sz val="10"/>
        <color theme="1"/>
        <rFont val="&quot;Helvetica Neue&quot;, Arial"/>
      </rPr>
      <t xml:space="preserve">11. </t>
    </r>
    <r>
      <rPr>
        <sz val="10"/>
        <color theme="1"/>
        <rFont val="&quot;Helvetica Neue&quot;, Arial"/>
      </rPr>
      <t>Enviar mensagem de boas vindas à medida que o grupo lotar (caso não lote o grupo, pode mandar mensagem a cada X pessoas que entrarem ou a cada X dias)</t>
    </r>
  </si>
  <si>
    <r>
      <rPr>
        <b/>
        <sz val="9"/>
        <color rgb="FF0079B8"/>
        <rFont val="Montserrat, Arial"/>
      </rPr>
      <t xml:space="preserve">💻 </t>
    </r>
    <r>
      <rPr>
        <b/>
        <u/>
        <sz val="9"/>
        <color rgb="FF0079B8"/>
        <rFont val="Montserrat, Arial"/>
      </rPr>
      <t>Sugestão de conteúdo: Implementation Day de Leads para LS</t>
    </r>
  </si>
  <si>
    <t>1. Planejamento e Criação da Campanha</t>
  </si>
  <si>
    <r>
      <rPr>
        <sz val="10"/>
        <color rgb="FF0087CC"/>
        <rFont val="&quot;Helvetica Neue&quot;, Arial"/>
      </rPr>
      <t xml:space="preserve">💡 Faça seu planejamento de tráfego preenchendo a Aba </t>
    </r>
    <r>
      <rPr>
        <b/>
        <sz val="10"/>
        <color rgb="FF0087CC"/>
        <rFont val="&quot;Helvetica Neue&quot;, Arial"/>
      </rPr>
      <t>Planejamento de Investimento</t>
    </r>
    <r>
      <rPr>
        <sz val="10"/>
        <color rgb="FF0087CC"/>
        <rFont val="&quot;Helvetica Neue&quot;, Arial"/>
      </rPr>
      <t xml:space="preserve"> que está no documento </t>
    </r>
    <r>
      <rPr>
        <b/>
        <sz val="10"/>
        <color rgb="FF0087CC"/>
        <rFont val="&quot;Helvetica Neue&quot;, Arial"/>
      </rPr>
      <t>PLANILHA DE TRÁFEGO</t>
    </r>
    <r>
      <rPr>
        <sz val="10"/>
        <color rgb="FF0087CC"/>
        <rFont val="&quot;Helvetica Neue&quot;, Arial"/>
      </rPr>
      <t xml:space="preserve"> no seu Launch Drive</t>
    </r>
  </si>
  <si>
    <r>
      <rPr>
        <b/>
        <sz val="9"/>
        <color rgb="FF00547F"/>
        <rFont val="Montserrat, Arial"/>
      </rPr>
      <t xml:space="preserve">👨‍🏫 </t>
    </r>
    <r>
      <rPr>
        <b/>
        <u/>
        <sz val="9"/>
        <color rgb="FF00547F"/>
        <rFont val="Montserrat, Arial"/>
      </rPr>
      <t>Assista à Aula de Planejamento de Investimento para Lançamento Semente</t>
    </r>
  </si>
  <si>
    <r>
      <rPr>
        <b/>
        <sz val="10"/>
        <color theme="1"/>
        <rFont val="&quot;Helvetica Neue&quot;, Arial"/>
      </rPr>
      <t xml:space="preserve">1. </t>
    </r>
    <r>
      <rPr>
        <sz val="10"/>
        <color theme="1"/>
        <rFont val="&quot;Helvetica Neue&quot;, Arial"/>
      </rPr>
      <t>Preencher o Planejamento de Investimento</t>
    </r>
  </si>
  <si>
    <r>
      <rPr>
        <b/>
        <sz val="10"/>
        <rFont val="&quot;Helvetica Neue&quot;, Arial"/>
      </rPr>
      <t xml:space="preserve">2. </t>
    </r>
    <r>
      <rPr>
        <sz val="10"/>
        <rFont val="&quot;Helvetica Neue&quot;, Arial"/>
      </rPr>
      <t>Preencha o arquivo 6) LANÇAMENTO - VISÃO GERAL -</t>
    </r>
    <r>
      <rPr>
        <b/>
        <sz val="10"/>
        <color rgb="FF0079B8"/>
        <rFont val="&quot;Helvetica Neue&quot;, Arial"/>
      </rPr>
      <t xml:space="preserve"> </t>
    </r>
    <r>
      <rPr>
        <b/>
        <sz val="9"/>
        <color rgb="FF0079B8"/>
        <rFont val="&quot;Helvetica Neue&quot;, Arial"/>
      </rPr>
      <t xml:space="preserve">👨‍🏫 </t>
    </r>
    <r>
      <rPr>
        <b/>
        <u/>
        <sz val="9"/>
        <color rgb="FF00547F"/>
        <rFont val="&quot;Helvetica Neue&quot;, Arial"/>
      </rPr>
      <t>Tutorial de como preencher o arquivo Lançamento - Visão Geral</t>
    </r>
  </si>
  <si>
    <r>
      <rPr>
        <sz val="10"/>
        <color rgb="FF0087CC"/>
        <rFont val="&quot;Helvetica Neue&quot;, Arial"/>
      </rPr>
      <t xml:space="preserve">📂 Acesse: </t>
    </r>
    <r>
      <rPr>
        <sz val="10"/>
        <color rgb="FF0087CC"/>
        <rFont val="&quot;Helvetica Neue&quot;, Arial"/>
      </rPr>
      <t>LAUNCH DRIVE  ➔  1) DOCUMENTAÇÃO DE LANÇAMENTO  ➔  6) LANÇAMENTO - VISÃO GERAL</t>
    </r>
  </si>
  <si>
    <r>
      <rPr>
        <b/>
        <sz val="10"/>
        <color theme="1"/>
        <rFont val="&quot;Helvetica Neue&quot;, Arial"/>
      </rPr>
      <t xml:space="preserve">3. </t>
    </r>
    <r>
      <rPr>
        <sz val="10"/>
        <color theme="1"/>
        <rFont val="&quot;Helvetica Neue&quot;, Arial"/>
      </rPr>
      <t>Com base na sua Meta de Leads Total, utilize a Planilha de Tráfego para planejar a sua Meta de Leads Diária e Meta de Orçamento Diário</t>
    </r>
  </si>
  <si>
    <r>
      <rPr>
        <sz val="10"/>
        <color rgb="FF0087CC"/>
        <rFont val="&quot;Helvetica Neue&quot;, Arial"/>
      </rPr>
      <t>📂 Acesse:</t>
    </r>
    <r>
      <rPr>
        <sz val="10"/>
        <color rgb="FF0087CC"/>
        <rFont val="&quot;Helvetica Neue&quot;, Arial"/>
      </rPr>
      <t xml:space="preserve"> LAUNCH DRIVE  ➔  1) DOCUMENTAÇÃO DE LANÇAMENTO  ➔  8) PLANILHA DE TRÁFEGO  ➔  aba: PLANEJAMENTO DE INVESTIMENTO</t>
    </r>
  </si>
  <si>
    <t xml:space="preserve">2. Implementando a Campanha                                </t>
  </si>
  <si>
    <r>
      <rPr>
        <b/>
        <sz val="10"/>
        <color rgb="FF373839"/>
        <rFont val="&quot;Helvetica Neue&quot;, Arial"/>
      </rPr>
      <t>1.</t>
    </r>
    <r>
      <rPr>
        <sz val="10"/>
        <color rgb="FF373839"/>
        <rFont val="&quot;Helvetica Neue&quot;, Arial"/>
      </rPr>
      <t xml:space="preserve"> Configure a sua campanha de captação de leads na Meta - </t>
    </r>
    <r>
      <rPr>
        <b/>
        <sz val="10"/>
        <color rgb="FF373839"/>
        <rFont val="&quot;Helvetica Neue&quot;, Arial"/>
      </rPr>
      <t xml:space="preserve">👨‍🏫 </t>
    </r>
    <r>
      <rPr>
        <b/>
        <u/>
        <sz val="9"/>
        <color rgb="FF00547F"/>
        <rFont val="&quot;Helvetica Neue&quot;, Arial"/>
      </rPr>
      <t>Aula Configurações Iniciais para Captação de Leads</t>
    </r>
  </si>
  <si>
    <r>
      <rPr>
        <b/>
        <sz val="10"/>
        <rFont val="&quot;Helvetica Neue&quot;, Arial"/>
      </rPr>
      <t xml:space="preserve">3. </t>
    </r>
    <r>
      <rPr>
        <sz val="10"/>
        <rFont val="&quot;Helvetica Neue&quot;, Arial"/>
      </rPr>
      <t>Criação de Públicos -</t>
    </r>
    <r>
      <rPr>
        <b/>
        <sz val="10"/>
        <rFont val="&quot;Helvetica Neue&quot;, Arial"/>
      </rPr>
      <t xml:space="preserve"> 👨‍🏫 </t>
    </r>
    <r>
      <rPr>
        <b/>
        <u/>
        <sz val="9"/>
        <color rgb="FF00547F"/>
        <rFont val="&quot;Helvetica Neue&quot;, Arial"/>
      </rPr>
      <t>Aula de Criação de Públicos no Facebook</t>
    </r>
  </si>
  <si>
    <r>
      <rPr>
        <b/>
        <sz val="10"/>
        <color theme="1"/>
        <rFont val="&quot;Helvetica Neue&quot;, Arial"/>
      </rPr>
      <t xml:space="preserve">   3.1 </t>
    </r>
    <r>
      <rPr>
        <sz val="10"/>
        <color theme="1"/>
        <rFont val="&quot;Helvetica Neue&quot;, Arial"/>
      </rPr>
      <t>Crie um público de Envolvimento de 30, 60, 90, 180 e 365</t>
    </r>
  </si>
  <si>
    <r>
      <rPr>
        <b/>
        <sz val="10"/>
        <rFont val="&quot;Helvetica Neue&quot;, Arial"/>
      </rPr>
      <t xml:space="preserve">4. </t>
    </r>
    <r>
      <rPr>
        <sz val="10"/>
        <rFont val="&quot;Helvetica Neue&quot;, Arial"/>
      </rPr>
      <t xml:space="preserve">Crie sua Campanha de Captação - </t>
    </r>
    <r>
      <rPr>
        <b/>
        <sz val="10"/>
        <rFont val="&quot;Helvetica Neue&quot;, Arial"/>
      </rPr>
      <t xml:space="preserve">👨‍🏫 </t>
    </r>
    <r>
      <rPr>
        <b/>
        <u/>
        <sz val="9"/>
        <color rgb="FF00547F"/>
        <rFont val="&quot;Helvetica Neue&quot;, Arial"/>
      </rPr>
      <t>Criação da Campanha de Captação de Leads</t>
    </r>
  </si>
  <si>
    <r>
      <rPr>
        <b/>
        <sz val="10"/>
        <color theme="1"/>
        <rFont val="&quot;Helvetica Neue&quot;, Arial"/>
      </rPr>
      <t>5.</t>
    </r>
    <r>
      <rPr>
        <sz val="10"/>
        <color theme="1"/>
        <rFont val="&quot;Helvetica Neue&quot;, Arial"/>
      </rPr>
      <t xml:space="preserve"> Crie os conjuntos de anúncios de remarketing da página de inscrição, Envolvimento, Lookalikes e Interesses</t>
    </r>
  </si>
  <si>
    <r>
      <rPr>
        <b/>
        <sz val="10"/>
        <color theme="1"/>
        <rFont val="&quot;Helvetica Neue&quot;, Arial"/>
      </rPr>
      <t xml:space="preserve">6. </t>
    </r>
    <r>
      <rPr>
        <sz val="10"/>
        <color theme="1"/>
        <rFont val="&quot;Helvetica Neue&quot;, Arial"/>
      </rPr>
      <t>Use de 3 a 4 anúncios iniciais para a captação adicionando os criativos de vídeo/imagem, texto principal (copy), título e CTA</t>
    </r>
  </si>
  <si>
    <r>
      <rPr>
        <b/>
        <sz val="10"/>
        <color rgb="FF0079B8"/>
        <rFont val="Helvetica Neue"/>
      </rPr>
      <t xml:space="preserve">Mantenha a frequência de conteúdo. </t>
    </r>
    <r>
      <rPr>
        <b/>
        <sz val="10"/>
        <color rgb="FF0079B8"/>
        <rFont val="Helvetica Neue"/>
      </rPr>
      <t>Publique o Reels do dia</t>
    </r>
    <r>
      <rPr>
        <b/>
        <sz val="10"/>
        <color rgb="FF0079B8"/>
        <rFont val="Helvetica Neue"/>
      </rPr>
      <t xml:space="preserve">, com o tema que foi definido na Semana 01. </t>
    </r>
  </si>
  <si>
    <r>
      <rPr>
        <b/>
        <sz val="10"/>
        <color rgb="FF0087CC"/>
        <rFont val="Helvetica Neue"/>
      </rPr>
      <t>📂 Acesse:</t>
    </r>
    <r>
      <rPr>
        <sz val="10"/>
        <color rgb="FF0087CC"/>
        <rFont val="Helvetica Neue"/>
      </rPr>
      <t xml:space="preserve"> CONTENT DRIVE  ➔  1) PRODUÇÃO  ➔  2) PLANILHA DE PRODUÇÃO E ACOMPANHAMENTO</t>
    </r>
  </si>
  <si>
    <t>💡 Com base na sua meta de leads total utilize a Planilha de Tráfego que está no seu Launch Drive para planejar a sua meta de leads diária e a sua meta de orçamento diario</t>
  </si>
  <si>
    <r>
      <rPr>
        <sz val="10"/>
        <color rgb="FF0087CC"/>
        <rFont val="Helvetica Neue"/>
      </rPr>
      <t>📂 Acesse:</t>
    </r>
    <r>
      <rPr>
        <sz val="10"/>
        <color rgb="FF0087CC"/>
        <rFont val="Helvetica Neue"/>
      </rPr>
      <t xml:space="preserve"> LAUNCH DRIVE  ➔  1) DOCUMENTAÇÃO DE LANÇAMENTO  ➔  8) PLANILHA DE TRÁFEGO  ➔  aba: PLANEJAMENTO DE INVESTIMENTO</t>
    </r>
  </si>
  <si>
    <r>
      <rPr>
        <b/>
        <sz val="10"/>
        <color theme="1"/>
        <rFont val="&quot;Helvetica Neue&quot;"/>
      </rPr>
      <t xml:space="preserve"> 1.</t>
    </r>
    <r>
      <rPr>
        <sz val="10"/>
        <color theme="1"/>
        <rFont val="&quot;Helvetica Neue&quot;"/>
      </rPr>
      <t xml:space="preserve"> Verifique se suas campanhas de captação, programadas na semana passada, estão ativas conforme a data programada</t>
    </r>
  </si>
  <si>
    <r>
      <rPr>
        <b/>
        <sz val="10"/>
        <color theme="1"/>
        <rFont val="&quot;Helvetica Neue&quot;, Arial"/>
      </rPr>
      <t>2.</t>
    </r>
    <r>
      <rPr>
        <sz val="10"/>
        <color theme="1"/>
        <rFont val="&quot;Helvetica Neue&quot;, Arial"/>
      </rPr>
      <t xml:space="preserve"> Coloque o Link da página captação na bio do Instagram, com um CTA atrativo</t>
    </r>
  </si>
  <si>
    <r>
      <rPr>
        <b/>
        <sz val="10"/>
        <color rgb="FF0079B8"/>
        <rFont val="Helvetica Neue"/>
      </rPr>
      <t xml:space="preserve">Mantenha a frequência de conteúdo. </t>
    </r>
    <r>
      <rPr>
        <b/>
        <sz val="10"/>
        <color rgb="FF0079B8"/>
        <rFont val="Helvetica Neue"/>
      </rPr>
      <t>Publique o Reels do dia</t>
    </r>
    <r>
      <rPr>
        <b/>
        <sz val="10"/>
        <color rgb="FF0079B8"/>
        <rFont val="Helvetica Neue"/>
      </rPr>
      <t xml:space="preserve">, com o tema que foi definido na Semana 01. </t>
    </r>
  </si>
  <si>
    <r>
      <rPr>
        <b/>
        <sz val="10"/>
        <color rgb="FF0087CC"/>
        <rFont val="Helvetica Neue"/>
      </rPr>
      <t>📂 Acesse:</t>
    </r>
    <r>
      <rPr>
        <sz val="10"/>
        <color rgb="FF0087CC"/>
        <rFont val="Helvetica Neue"/>
      </rPr>
      <t xml:space="preserve"> CONTENT DRIVE  ➔  1) PRODUÇÃO  ➔  2) PLANILHA DE PRODUÇÃO E ACOMPANHAMENTO</t>
    </r>
  </si>
  <si>
    <r>
      <rPr>
        <b/>
        <sz val="10"/>
        <color rgb="FF0079B8"/>
        <rFont val="&quot;Helvetica Neue&quot;, Arial"/>
      </rPr>
      <t xml:space="preserve">Você deverá fazer a otimização de orçamento da sua campanha </t>
    </r>
    <r>
      <rPr>
        <b/>
        <sz val="10"/>
        <color rgb="FF0079B8"/>
        <rFont val="&quot;Helvetica Neue&quot;, Arial"/>
      </rPr>
      <t>diariamente.</t>
    </r>
  </si>
  <si>
    <r>
      <rPr>
        <b/>
        <sz val="10"/>
        <color theme="1"/>
        <rFont val="&quot;Helvetica Neue&quot;, Arial"/>
      </rPr>
      <t xml:space="preserve">1. </t>
    </r>
    <r>
      <rPr>
        <sz val="10"/>
        <color theme="1"/>
        <rFont val="&quot;Helvetica Neue&quot;, Arial"/>
      </rPr>
      <t>Otimize o Orçamento da campanha de leads.</t>
    </r>
  </si>
  <si>
    <r>
      <rPr>
        <b/>
        <sz val="10"/>
        <rFont val="&quot;Helvetica Neue&quot;, Arial"/>
      </rPr>
      <t xml:space="preserve">👨‍🏫 </t>
    </r>
    <r>
      <rPr>
        <b/>
        <u/>
        <sz val="9"/>
        <color rgb="FF00547F"/>
        <rFont val="&quot;Helvetica Neue&quot;, Arial"/>
      </rPr>
      <t>Aula de Otimização de Orçamento de Captação de Leads</t>
    </r>
  </si>
  <si>
    <t>Você deve reproduzir os temas em todos os seus conteúdos, respeitando a estrutura de cada um deles.</t>
  </si>
  <si>
    <t>Publique o Reels com o Tema que foi definido na Semana 01</t>
  </si>
  <si>
    <t>Publique os stories com o tema definido na Semana 01</t>
  </si>
  <si>
    <t>Envie o áudio de whatsapp com o tema definido na Semana 01</t>
  </si>
  <si>
    <t xml:space="preserve">Chegou a semana do seu lançamento! O seu maior foco agora é fazer com que o maior número possível de leads inscritas assistam aos CPLs. 🚀 Insira nos seus conteúdos, um CTA para que a sua audiência assista aos CPLs. </t>
  </si>
  <si>
    <t>Nesta fase, você deve garantir que todos os links do blog de lançamento estejam funcionando e que as notificações de pré-lançamento estão sendo enviadas.</t>
  </si>
  <si>
    <r>
      <rPr>
        <b/>
        <sz val="11"/>
        <color theme="1"/>
        <rFont val="Jost"/>
      </rPr>
      <t xml:space="preserve">MATERIAIS DE APOIO DESTE CICLO </t>
    </r>
    <r>
      <rPr>
        <b/>
        <i/>
        <sz val="11"/>
        <color theme="1"/>
        <rFont val="Jost"/>
      </rPr>
      <t>(somente se precisar)</t>
    </r>
  </si>
  <si>
    <t>Remarketing</t>
  </si>
  <si>
    <t>Curso de Tráfego 2.0 - Remarketing de Carrinho</t>
  </si>
  <si>
    <t>https://hotmart.com/pt-BR/club/am-insider/products/6130002/content/Z72RmD8J7N</t>
  </si>
  <si>
    <t xml:space="preserve">Launch Drive 
para Recuperação de Vendas </t>
  </si>
  <si>
    <t>Pasta 5) Notificações -&gt; 1) PL - Pré-lançamento -&gt; 1) E-mails e 2) Whatsapp</t>
  </si>
  <si>
    <t>Pasta 5) Notificações -&gt; 4) Notificações E-mail - Cronograma e Relatórios</t>
  </si>
  <si>
    <t>Pasta 7) Recuperação de Vendas -&gt; 1) E-mails e 2) Whatsapp</t>
  </si>
  <si>
    <t>💡 Libere os CPLs ao longo da semana, segunda, quarta e sexta, sempre no começo do dia para ter uma melhor taxa de comparecimento</t>
  </si>
  <si>
    <t xml:space="preserve">       CPLs</t>
  </si>
  <si>
    <t>Data da liberação</t>
  </si>
  <si>
    <t>Liberar CPL 1 às 8h</t>
  </si>
  <si>
    <r>
      <rPr>
        <sz val="10"/>
        <color rgb="FF0087CC"/>
        <rFont val="Rubik"/>
      </rPr>
      <t xml:space="preserve">⚠️ Confirme o agendamento dos emails de lançamento feita no ciclo de preparação. </t>
    </r>
    <r>
      <rPr>
        <b/>
        <sz val="10"/>
        <color rgb="FF0087CC"/>
        <rFont val="Rubik"/>
      </rPr>
      <t>Teste todos os links</t>
    </r>
    <r>
      <rPr>
        <sz val="10"/>
        <color rgb="FF0087CC"/>
        <rFont val="Rubik"/>
      </rPr>
      <t xml:space="preserve"> e confirme a cada disparo se foi realizado.</t>
    </r>
  </si>
  <si>
    <t>Conferir disparos e links (ideal que seja feito pela manhã)</t>
  </si>
  <si>
    <t xml:space="preserve">       Disparos de Emails - Pré Lançamento</t>
  </si>
  <si>
    <t>Email CPL1 no ar</t>
  </si>
  <si>
    <t>Email CPL1 no ar - Reforço</t>
  </si>
  <si>
    <t xml:space="preserve">       Disparos de WhatsApp - Pré Lançamento</t>
  </si>
  <si>
    <t>Começa no dia da liberação do CPL 1</t>
  </si>
  <si>
    <t>Confirme o agendamento e configurações das suas campanhas de Remarketing que foram criadas no ciclo anterior</t>
  </si>
  <si>
    <t>Utilize o documento 1, listado em "Documentos Necessários" no início desta página</t>
  </si>
  <si>
    <t xml:space="preserve">Organize as datas dos disparos no documento 2, listado em "Documentos Necessários" no início desta seção. </t>
  </si>
  <si>
    <t>Tipo do E-mail</t>
  </si>
  <si>
    <t xml:space="preserve">Data </t>
  </si>
  <si>
    <t>Inscrições Abertas - Dia 1 #1</t>
  </si>
  <si>
    <t>Cuidado! Você pode perder sua vaga. - Dia 1 #2</t>
  </si>
  <si>
    <t>Últimas horas, as vagas estão esgotando.- Dia 1 #3</t>
  </si>
  <si>
    <t>Estamos vivos... - Dia 2 #1</t>
  </si>
  <si>
    <t>Atendendo a pedidos - Dia 3 #1</t>
  </si>
  <si>
    <t>Encerramento das inscrições - Dia 4 #1</t>
  </si>
  <si>
    <t>As matrículas encerram hoje - Dia 5 #1</t>
  </si>
  <si>
    <t>Últimas horas, as vagas vão fechar- Dia 5 #2</t>
  </si>
  <si>
    <t>Whatsapp / Telegram</t>
  </si>
  <si>
    <t>Tipo da Mensagem</t>
  </si>
  <si>
    <t>Vagas disponíveis com bônus e Garantias - Dia 2 #2</t>
  </si>
  <si>
    <t>Lembre-se que o CTA deverá levar para assistir ao CPL</t>
  </si>
  <si>
    <t xml:space="preserve">Publique o Reels com o tema que foi definido no ciclo anterior </t>
  </si>
  <si>
    <t>Publique os stories com o mesmo tema</t>
  </si>
  <si>
    <t>Efeito Tsunami</t>
  </si>
  <si>
    <t>A Live de Efeito Tsunami deve intensificar a Escassez da sua Oferta e gerar Antecipação, aumentando o desejo pelo produto. 
Essa live pode ser de Revisão do conteúdo dos CPLs ou de um Tema muito desejado pelo seu avatar. Aproveite para abordar a necessidade do método.</t>
  </si>
  <si>
    <t>Defina o tema e linha editoral</t>
  </si>
  <si>
    <t xml:space="preserve">Revisão dos CPLs </t>
  </si>
  <si>
    <t>Desejo do avatar</t>
  </si>
  <si>
    <t xml:space="preserve">Dica 2: a linha editorial de perguntas e respostas pode ser a melhor para quebrar objeções e mostrar as oportunidades do méotod para se chegar à Roma. </t>
  </si>
  <si>
    <t>Lives de Carrinho Aberto</t>
  </si>
  <si>
    <t xml:space="preserve">As Lives de Carrinho Aberto devem mostrar para a sua audiência que o caminho mais viável para se chegar à Roma está no seu produto. É imprescindível que esses conteúdos mostrem apontem Roma e apontem o seu Método como uma Grande Oportunidade ou quebrem as principais Objeções do seu avatar. 				</t>
  </si>
  <si>
    <r>
      <rPr>
        <sz val="10"/>
        <color theme="1"/>
        <rFont val="Rubik"/>
      </rPr>
      <t xml:space="preserve">Defina 3 temas de lives para serem executadas semana que vem - </t>
    </r>
    <r>
      <rPr>
        <i/>
        <sz val="9"/>
        <color theme="1"/>
        <rFont val="Rubik"/>
      </rPr>
      <t xml:space="preserve">utilize o script do Gerador de Raíz disponível no Content Drive </t>
    </r>
  </si>
  <si>
    <t>Dica: utilize a pesquisa de Avatar para se aprofundar sobre as principais necessidades e Objeções do avatar para resolvê-las</t>
  </si>
  <si>
    <t xml:space="preserve">1ª Live </t>
  </si>
  <si>
    <t>Tema:</t>
  </si>
  <si>
    <t xml:space="preserve">2ª Live </t>
  </si>
  <si>
    <t xml:space="preserve">3ª Live </t>
  </si>
  <si>
    <t xml:space="preserve">Nutella / Reels </t>
  </si>
  <si>
    <r>
      <rPr>
        <sz val="10"/>
        <color theme="1"/>
        <rFont val="Rubik"/>
      </rPr>
      <t xml:space="preserve">Os conteúdos da fasede Carrinho Aberto devem mostrar para a sua audiência que o caminho mais viável para se chegar à Roma está no seu produto. É imprescindível que esses conteúdos mostrem apontem </t>
    </r>
    <r>
      <rPr>
        <b/>
        <sz val="10"/>
        <color theme="1"/>
        <rFont val="Rubik"/>
      </rPr>
      <t xml:space="preserve">Roma </t>
    </r>
    <r>
      <rPr>
        <sz val="10"/>
        <color theme="1"/>
        <rFont val="Rubik"/>
      </rPr>
      <t xml:space="preserve">e apontem o seu </t>
    </r>
    <r>
      <rPr>
        <b/>
        <sz val="10"/>
        <color theme="1"/>
        <rFont val="Rubik"/>
      </rPr>
      <t>Método</t>
    </r>
    <r>
      <rPr>
        <sz val="10"/>
        <color theme="1"/>
        <rFont val="Rubik"/>
      </rPr>
      <t xml:space="preserve"> como uma Grande </t>
    </r>
    <r>
      <rPr>
        <b/>
        <sz val="10"/>
        <color theme="1"/>
        <rFont val="Rubik"/>
      </rPr>
      <t>Oportunidade</t>
    </r>
    <r>
      <rPr>
        <sz val="10"/>
        <color theme="1"/>
        <rFont val="Rubik"/>
      </rPr>
      <t xml:space="preserve"> ou quebrem as principais </t>
    </r>
    <r>
      <rPr>
        <b/>
        <sz val="10"/>
        <color theme="1"/>
        <rFont val="Rubik"/>
      </rPr>
      <t>Objeções</t>
    </r>
    <r>
      <rPr>
        <sz val="10"/>
        <color theme="1"/>
        <rFont val="Rubik"/>
      </rPr>
      <t xml:space="preserve"> do seu avatar. </t>
    </r>
  </si>
  <si>
    <r>
      <rPr>
        <sz val="10"/>
        <color theme="1"/>
        <rFont val="Rubik"/>
      </rPr>
      <t xml:space="preserve">Defina mais </t>
    </r>
    <r>
      <rPr>
        <b/>
        <sz val="10"/>
        <color theme="1"/>
        <rFont val="Rubik"/>
      </rPr>
      <t xml:space="preserve">7 temas </t>
    </r>
    <r>
      <rPr>
        <sz val="10"/>
        <color theme="1"/>
        <rFont val="Rubik"/>
      </rPr>
      <t xml:space="preserve">que conectam com seu avatar e que estejam alinhados à sua roma para gravar no reels e serem publicados na semana que vem. 
</t>
    </r>
    <r>
      <rPr>
        <i/>
        <sz val="10"/>
        <color theme="1"/>
        <rFont val="Rubik"/>
      </rPr>
      <t xml:space="preserve">Lembre-se de seguir a estrutura abaixo: </t>
    </r>
  </si>
  <si>
    <t>1. Tema</t>
  </si>
  <si>
    <t>Oportunidade do atalho para a Roma oferecido pelo método</t>
  </si>
  <si>
    <t>2. Apresentação</t>
  </si>
  <si>
    <t xml:space="preserve">Reforçando a autoridade e pessoa certa para guiar nesse caminho </t>
  </si>
  <si>
    <t>3. Roma</t>
  </si>
  <si>
    <t xml:space="preserve">Reforçar o desejo do avatar </t>
  </si>
  <si>
    <t>4. Conteúdo do tema</t>
  </si>
  <si>
    <t xml:space="preserve">Quebrando objeção e reforçando os benefícios </t>
  </si>
  <si>
    <t>5. CTA: Inscrições Aberta - link na bio</t>
  </si>
  <si>
    <t xml:space="preserve">Ativar o gatilho mental da escassez da oferta </t>
  </si>
  <si>
    <t xml:space="preserve">💡	Lembre-se que o CTA deverá levar para assistir ao CPL			</t>
  </si>
  <si>
    <t>Publique o Reels com o tema que foi definido no ciclo anterior.</t>
  </si>
  <si>
    <t xml:space="preserve">Libere o CPL sempre no começo do dia para ter uma melhor taxa de comparecimento                                </t>
  </si>
  <si>
    <r>
      <rPr>
        <b/>
        <sz val="10"/>
        <color theme="1"/>
        <rFont val="Rubik"/>
      </rPr>
      <t xml:space="preserve">1. </t>
    </r>
    <r>
      <rPr>
        <sz val="10"/>
        <color theme="1"/>
        <rFont val="Rubik"/>
      </rPr>
      <t>Liberar CPL 2 às 8h</t>
    </r>
  </si>
  <si>
    <t xml:space="preserve">⚠️ </t>
  </si>
  <si>
    <r>
      <rPr>
        <sz val="10"/>
        <color rgb="FF0087CC"/>
        <rFont val="Rubik"/>
      </rPr>
      <t xml:space="preserve">Confirme o agendamento dos emails de pré-lançamento e  </t>
    </r>
    <r>
      <rPr>
        <b/>
        <sz val="10"/>
        <color rgb="FF0087CC"/>
        <rFont val="Rubik"/>
      </rPr>
      <t>teste todos os links.</t>
    </r>
  </si>
  <si>
    <t>Email CPL2 no ar</t>
  </si>
  <si>
    <t>Email CPL2 no ar - Reforço</t>
  </si>
  <si>
    <t xml:space="preserve">As mensagens de recuperação de vendas serão escritas e programadas para serem enviadas quando as leads tomarem alguma ação na sua página de checkout: adicionar o produto no carrinho e não finalizar a compra; gerar boleto e não pagar; pagamento não processado. 
Então, nesse momento você irá adaptar a copy dessas notificações e criar as automações. </t>
  </si>
  <si>
    <t xml:space="preserve">Acesse o documento 3, listado em "Documentos Necessários" no início desta seção </t>
  </si>
  <si>
    <t xml:space="preserve">Crie os e-mails </t>
  </si>
  <si>
    <t>Email Carrinho Abandonado #1</t>
  </si>
  <si>
    <t>Email Carrinho Abandonado #2</t>
  </si>
  <si>
    <t>Email Compra Cancelada</t>
  </si>
  <si>
    <t>Email Boleto Emitido #1</t>
  </si>
  <si>
    <t>Email Boleto Emitido #2</t>
  </si>
  <si>
    <t xml:space="preserve">Crie as automações </t>
  </si>
  <si>
    <r>
      <rPr>
        <sz val="10"/>
        <rFont val="Rubik"/>
      </rPr>
      <t>Configure a listboss -</t>
    </r>
    <r>
      <rPr>
        <u/>
        <sz val="10"/>
        <color rgb="FF000000"/>
        <rFont val="Rubik"/>
      </rPr>
      <t xml:space="preserve"> </t>
    </r>
    <r>
      <rPr>
        <u/>
        <sz val="10"/>
        <color rgb="FF0079B8"/>
        <rFont val="Rubik"/>
      </rPr>
      <t>Tutorial Como Configurar a Listboss na Hotmart</t>
    </r>
    <r>
      <rPr>
        <b/>
        <sz val="10"/>
        <rFont val="Rubik"/>
      </rPr>
      <t xml:space="preserve"> </t>
    </r>
  </si>
  <si>
    <t>Programe automações do processo de recuperação de vendas</t>
  </si>
  <si>
    <t>Material Complementar - Remarketing de Carrinho</t>
  </si>
  <si>
    <t>Google (YouTube)</t>
  </si>
  <si>
    <t>Crie uma única campanha de tráfego para seu remarketing de carrinho</t>
  </si>
  <si>
    <t>Crie uma única campanha de vídeo sem meta para seu rmkt de carrinho</t>
  </si>
  <si>
    <r>
      <rPr>
        <sz val="10"/>
        <color theme="1"/>
        <rFont val="Rubik"/>
      </rPr>
      <t xml:space="preserve">Crie os conjuntos de anúncios dos públicos de participação no lançamento:
</t>
    </r>
    <r>
      <rPr>
        <sz val="9"/>
        <color rgb="FF0087CC"/>
        <rFont val="Rubik"/>
      </rPr>
      <t>Remarketing de quem chegou na página de vendas, quem assistiu algum dos CPLs, inscritos no lançamento, pessoas que chegaram no checkout dos lançamento anteriores e sua lista total</t>
    </r>
  </si>
  <si>
    <r>
      <rPr>
        <sz val="10"/>
        <color theme="1"/>
        <rFont val="Rubik"/>
      </rPr>
      <t xml:space="preserve">Crie os grupos de anúncios dos públicos de participação no lançamento:
</t>
    </r>
    <r>
      <rPr>
        <sz val="9"/>
        <color rgb="FF0087CC"/>
        <rFont val="Rubik"/>
      </rPr>
      <t>Remarketing de quem chegou na página de vendas, quem assistiu algum dos CPLs, inscritos no lançamento, pessoas que chegaram no checkout dos lançamento anteriores e sua lista total.</t>
    </r>
  </si>
  <si>
    <t>Crie seus anúncios para o remarketing informando que as inscrições estão abertas, adicionando o vídeo/imagem, texto principal (copy), título e CTA.</t>
  </si>
  <si>
    <t>Crie seus anúncios para o remarketing avisando que as inscrições estão abertas, adicionando o vídeo não-listado do YouTube</t>
  </si>
  <si>
    <r>
      <rPr>
        <b/>
        <sz val="10"/>
        <color theme="1"/>
        <rFont val="Rubik"/>
      </rPr>
      <t>1.</t>
    </r>
    <r>
      <rPr>
        <sz val="10"/>
        <color theme="1"/>
        <rFont val="Rubik"/>
      </rPr>
      <t xml:space="preserve"> Liberar CPL 3 na sexta-feira</t>
    </r>
  </si>
  <si>
    <t>⚠️</t>
  </si>
  <si>
    <r>
      <rPr>
        <sz val="10"/>
        <color rgb="FF0087CC"/>
        <rFont val="Rubik"/>
      </rPr>
      <t>Confirme o agendamento dos emails e</t>
    </r>
    <r>
      <rPr>
        <b/>
        <sz val="10"/>
        <color rgb="FF0087CC"/>
        <rFont val="Rubik"/>
      </rPr>
      <t xml:space="preserve"> teste todos os links.</t>
    </r>
  </si>
  <si>
    <r>
      <rPr>
        <b/>
        <sz val="10"/>
        <color theme="1"/>
        <rFont val="Rubik"/>
      </rPr>
      <t xml:space="preserve">2. </t>
    </r>
    <r>
      <rPr>
        <sz val="10"/>
        <color theme="1"/>
        <rFont val="Rubik"/>
      </rPr>
      <t xml:space="preserve">Email CPL3 no ar </t>
    </r>
  </si>
  <si>
    <r>
      <rPr>
        <b/>
        <sz val="10"/>
        <color theme="1"/>
        <rFont val="Rubik"/>
      </rPr>
      <t xml:space="preserve">3. </t>
    </r>
    <r>
      <rPr>
        <sz val="10"/>
        <color theme="1"/>
        <rFont val="Rubik"/>
      </rPr>
      <t>Email Boa e a Má Notícia (Efeito Tsunami)</t>
    </r>
  </si>
  <si>
    <r>
      <rPr>
        <b/>
        <sz val="10"/>
        <color theme="1"/>
        <rFont val="Rubik"/>
      </rPr>
      <t xml:space="preserve">4. </t>
    </r>
    <r>
      <rPr>
        <sz val="10"/>
        <color theme="1"/>
        <rFont val="Rubik"/>
      </rPr>
      <t xml:space="preserve">Email Seu Acesso Vai Ser Cancelado - </t>
    </r>
    <r>
      <rPr>
        <sz val="9"/>
        <color rgb="FF0087CC"/>
        <rFont val="Rubik"/>
      </rPr>
      <t>apenas para quem não abriu o email anterior</t>
    </r>
  </si>
  <si>
    <r>
      <rPr>
        <b/>
        <sz val="10"/>
        <color theme="1"/>
        <rFont val="Rubik"/>
      </rPr>
      <t>5.</t>
    </r>
    <r>
      <rPr>
        <sz val="10"/>
        <color theme="1"/>
        <rFont val="Rubik"/>
      </rPr>
      <t xml:space="preserve"> Email Instruções para Amanhã</t>
    </r>
  </si>
  <si>
    <r>
      <rPr>
        <b/>
        <sz val="10"/>
        <color theme="1"/>
        <rFont val="Rubik"/>
      </rPr>
      <t>6.</t>
    </r>
    <r>
      <rPr>
        <sz val="10"/>
        <color theme="1"/>
        <rFont val="Rubik"/>
      </rPr>
      <t xml:space="preserve"> CPL 3 no ar - Chamada 1</t>
    </r>
  </si>
  <si>
    <r>
      <rPr>
        <b/>
        <sz val="10"/>
        <color theme="1"/>
        <rFont val="Rubik"/>
      </rPr>
      <t>7.</t>
    </r>
    <r>
      <rPr>
        <sz val="10"/>
        <color theme="1"/>
        <rFont val="Rubik"/>
      </rPr>
      <t xml:space="preserve"> CPL 3 no ar - Chamada 2</t>
    </r>
  </si>
  <si>
    <r>
      <rPr>
        <b/>
        <sz val="10"/>
        <color theme="1"/>
        <rFont val="Rubik"/>
      </rPr>
      <t xml:space="preserve">8. </t>
    </r>
    <r>
      <rPr>
        <sz val="10"/>
        <color theme="1"/>
        <rFont val="Rubik"/>
      </rPr>
      <t>Efeito Tsunami- Chamada 1</t>
    </r>
  </si>
  <si>
    <r>
      <rPr>
        <b/>
        <sz val="10"/>
        <color theme="1"/>
        <rFont val="Rubik"/>
      </rPr>
      <t>9.</t>
    </r>
    <r>
      <rPr>
        <sz val="10"/>
        <color theme="1"/>
        <rFont val="Rubik"/>
      </rPr>
      <t xml:space="preserve"> Efeito Tsunami- Chamada 2</t>
    </r>
  </si>
  <si>
    <r>
      <rPr>
        <b/>
        <sz val="10"/>
        <color theme="1"/>
        <rFont val="Rubik"/>
      </rPr>
      <t xml:space="preserve">10. </t>
    </r>
    <r>
      <rPr>
        <sz val="10"/>
        <color theme="1"/>
        <rFont val="Rubik"/>
      </rPr>
      <t>Efeito Tsunami- Chamada 3</t>
    </r>
  </si>
  <si>
    <r>
      <rPr>
        <b/>
        <sz val="10"/>
        <color theme="1"/>
        <rFont val="Rubik"/>
      </rPr>
      <t xml:space="preserve">11. </t>
    </r>
    <r>
      <rPr>
        <sz val="10"/>
        <color theme="1"/>
        <rFont val="Rubik"/>
      </rPr>
      <t>Instruções para Amanhã</t>
    </r>
  </si>
  <si>
    <t xml:space="preserve">Publique o Reels com o tema que foi definido no ciclo anterior. Faça uma antecipação para a live de efeito tsunami que ocorrerá no próximo dia. </t>
  </si>
  <si>
    <t xml:space="preserve">Publique o reels com um tema que antecipe a abertura de carrinho </t>
  </si>
  <si>
    <t>Realize a Live de Efeito Tsunami</t>
  </si>
  <si>
    <t>Chegou a semana do seu lançamento! O seu maior foco é realizar o maior número de vendas possível.</t>
  </si>
  <si>
    <t>Nesta fase, você deve garantir que as notificações de carrinho aberto estejam configuradas corretamente.</t>
  </si>
  <si>
    <t>Foco total na Recuperação de Vendas 🚀</t>
  </si>
  <si>
    <t>MATERIAIS DE APOIO DESTE CICLO</t>
  </si>
  <si>
    <t xml:space="preserve">Palestra de Recuperação de Vendas </t>
  </si>
  <si>
    <t xml:space="preserve">-&gt; </t>
  </si>
  <si>
    <t>https://hotmart.com/pt-BR/club/am-insider/products/6130002/content/meL9A6Pj7n</t>
  </si>
  <si>
    <t xml:space="preserve">Script de ligação para Recuperação de Vendas </t>
  </si>
  <si>
    <t>https://hotmart.com/pt-BR/club/am-insider/products/6130002/content/k7Q1rYbx7y?track=Go4E0N1dOz</t>
  </si>
  <si>
    <t>Launch Drive</t>
  </si>
  <si>
    <t xml:space="preserve">Pasta 6) Recuperação de Vendas -&gt; 3) Planilha de Recuperação </t>
  </si>
  <si>
    <t>Liberar Vídeo de Vendas às 8h 🚀</t>
  </si>
  <si>
    <t xml:space="preserve">Conferir Disparos </t>
  </si>
  <si>
    <t>E-mail</t>
  </si>
  <si>
    <t>Whatsapp</t>
  </si>
  <si>
    <r>
      <rPr>
        <sz val="10"/>
        <color theme="1"/>
        <rFont val="Rubik"/>
      </rPr>
      <t xml:space="preserve">Inscrições Abertas - </t>
    </r>
    <r>
      <rPr>
        <b/>
        <sz val="9"/>
        <color theme="1"/>
        <rFont val="Rubik"/>
      </rPr>
      <t>Dia 1, email 1</t>
    </r>
  </si>
  <si>
    <r>
      <rPr>
        <sz val="10"/>
        <color theme="1"/>
        <rFont val="Rubik"/>
      </rPr>
      <t>Inscrições Abertas -</t>
    </r>
    <r>
      <rPr>
        <b/>
        <sz val="10"/>
        <color theme="1"/>
        <rFont val="Rubik"/>
      </rPr>
      <t xml:space="preserve"> Dia 1, mensagem 1</t>
    </r>
  </si>
  <si>
    <r>
      <rPr>
        <sz val="10"/>
        <color theme="1"/>
        <rFont val="Rubik"/>
      </rPr>
      <t xml:space="preserve">Cuidado! Você pode perder sua vaga - </t>
    </r>
    <r>
      <rPr>
        <b/>
        <sz val="9"/>
        <color theme="1"/>
        <rFont val="Rubik"/>
      </rPr>
      <t>Dia 1, email 2</t>
    </r>
  </si>
  <si>
    <r>
      <rPr>
        <sz val="10"/>
        <color theme="1"/>
        <rFont val="Rubik"/>
      </rPr>
      <t xml:space="preserve">Cuidado! Você pode perder sua vaga. - </t>
    </r>
    <r>
      <rPr>
        <b/>
        <sz val="10"/>
        <color theme="1"/>
        <rFont val="Rubik"/>
      </rPr>
      <t>Dia 1, mensagem 2</t>
    </r>
  </si>
  <si>
    <r>
      <rPr>
        <sz val="10"/>
        <color theme="1"/>
        <rFont val="Rubik"/>
      </rPr>
      <t xml:space="preserve">Últimas horas, as vagas estão esgotando - </t>
    </r>
    <r>
      <rPr>
        <b/>
        <sz val="9"/>
        <color theme="1"/>
        <rFont val="Rubik"/>
      </rPr>
      <t>Dia 1, email 3</t>
    </r>
  </si>
  <si>
    <r>
      <rPr>
        <sz val="10"/>
        <color theme="1"/>
        <rFont val="Rubik"/>
      </rPr>
      <t>Últimas horas, as vagas estão esgotando.-</t>
    </r>
    <r>
      <rPr>
        <b/>
        <sz val="10"/>
        <color theme="1"/>
        <rFont val="Rubik"/>
      </rPr>
      <t xml:space="preserve"> Dia 1, mensagem 3</t>
    </r>
  </si>
  <si>
    <t xml:space="preserve">Confira se todos os links estão corretos </t>
  </si>
  <si>
    <t>Começa no dia da liberação do vídeo de vendas</t>
  </si>
  <si>
    <t>Confirme o agendamento e configurações das suas campanhas de Remarketing configuradas no ciclo anterior</t>
  </si>
  <si>
    <t>Publique o Reels com o tema que foi definido na Semana 04</t>
  </si>
  <si>
    <t>O expert deve entrar em contato com todas as leads que entraram na página de checkout até o carrinho fechar.
Sugere-se que o contato seja realizado por telefone, mas se não conseguir fazer as ligações ou não se sentir confortável em ligar, entre em contato via WhatsApp. O mais importante é conseguir mapear e quebrar as objeções do avatar para fechar a maior quantidade de vendas possível.</t>
  </si>
  <si>
    <t>Acesse o documento 1, listado em "Documentos Necessários" no início desta seção</t>
  </si>
  <si>
    <t xml:space="preserve">Material Complementar - Palestra Recuperação de Vendas </t>
  </si>
  <si>
    <t xml:space="preserve">Whatsapp / Ligação </t>
  </si>
  <si>
    <t>Entre em contato com as leads também por mensagem 1a1 ou ligação seguindo o script do documento: 
   - Apresentação
   - Conexão &gt; fazer perguntas que façam sentido e tenham relação com o desejo do avatar e o produto, mostrando empatia. 
   - Compromisso de Decisão &gt; antecipar que a lead precisará tomar uma decisão ao final da conversa.
   - Oferta &gt; descrição da oferta
   - Fechamento</t>
  </si>
  <si>
    <t xml:space="preserve">Confira os disparos configurados no ciclo anterior </t>
  </si>
  <si>
    <t xml:space="preserve">Mensagem de Boleto Emitido </t>
  </si>
  <si>
    <t>Mensagem de Compra Cancelada</t>
  </si>
  <si>
    <t>Preencha a Planilha de Recuperação, no seu Launch Drive, com os contatos e os Status das ações que executou</t>
  </si>
  <si>
    <t>Acesse o documento 2, listado em "Documentos Necessários" no início desta seção</t>
  </si>
  <si>
    <t>Realize a Live de Carrinho aberto com o tema defino no ciclo anterior.</t>
  </si>
  <si>
    <t xml:space="preserve">Faça o contato 1a1 com as leads interessadas no seu produto. </t>
  </si>
  <si>
    <t>Realize a Live de Carrinho aberto com o tema decidido no ciclo anterior.</t>
  </si>
  <si>
    <t>1. Email: conferir disparo do email "Encerra hoje"</t>
  </si>
  <si>
    <t>2. WhatsApp: Disparar notificação de "Encerra hoje"</t>
  </si>
  <si>
    <t>3. Email: conferir disparo do email "Última chamada"</t>
  </si>
  <si>
    <t>4. WhatsApp: Disparar notificação de "Última chamada"</t>
  </si>
  <si>
    <t>Parabéns, você executou o seu lançamento! Agora é hora de analisar os resultados.
Neste momento, é importante preencher o debriefing na central de análises, disponível no Insider Desk, e solicitar uma análise com o Faixa Preta para receber um feedback assertivo e recomendações para o próximo lançamento.</t>
  </si>
  <si>
    <t xml:space="preserve">Launch Drive
para atualização da árvore de objeções </t>
  </si>
  <si>
    <t xml:space="preserve">Pasta 1) Documentação de Lançamento 3) Árvore de Objeções </t>
  </si>
  <si>
    <t xml:space="preserve">Acesse o documento 1, listado no início desta seção. </t>
  </si>
  <si>
    <t>Feche o seu carrinho às 00:00</t>
  </si>
  <si>
    <t xml:space="preserve">Atualize sua árvore de objeções com as objeções novas que apareceram durante a recuperação de vendas. </t>
  </si>
  <si>
    <t>No Whatsapp</t>
  </si>
  <si>
    <r>
      <rPr>
        <sz val="10"/>
        <rFont val="Rubik"/>
      </rPr>
      <t xml:space="preserve">Baixe o historico de conversa de todos os grupos - 📓 </t>
    </r>
    <r>
      <rPr>
        <u/>
        <sz val="10"/>
        <color rgb="FF1155CC"/>
        <rFont val="Rubik"/>
      </rPr>
      <t>Tutorial de como baixar o histórico de conversa</t>
    </r>
  </si>
  <si>
    <t>Exclua todos os participantes de cada grupo</t>
  </si>
  <si>
    <t>Exclua todos os grupos</t>
  </si>
  <si>
    <t>Esse passo é muito importante, pois é a partir do Feedback fornecido na análise de lançamento que você terá direcionamento para melhorar o próximo lançamento!</t>
  </si>
  <si>
    <r>
      <rPr>
        <sz val="10"/>
        <rFont val="Rubik"/>
      </rPr>
      <t>Preencha o seu</t>
    </r>
    <r>
      <rPr>
        <b/>
        <sz val="10"/>
        <rFont val="Rubik"/>
      </rPr>
      <t xml:space="preserve"> Debriefing</t>
    </r>
    <r>
      <rPr>
        <i/>
        <sz val="10"/>
        <rFont val="Rubik"/>
      </rPr>
      <t xml:space="preserve"> no Insider Desk - </t>
    </r>
    <r>
      <rPr>
        <sz val="10"/>
        <rFont val="Rubik"/>
      </rPr>
      <t>📓</t>
    </r>
    <r>
      <rPr>
        <u/>
        <sz val="10"/>
        <color rgb="FF1155CC"/>
        <rFont val="Rubik"/>
      </rPr>
      <t>Tutorial para preenchimento do Debriefing</t>
    </r>
  </si>
  <si>
    <r>
      <rPr>
        <sz val="10"/>
        <rFont val="Rubik"/>
      </rPr>
      <t xml:space="preserve">Solicite a Análise do Lançamento na Comunidade, seguindo o padrão do post fixado no space 👉  </t>
    </r>
    <r>
      <rPr>
        <b/>
        <u/>
        <sz val="10"/>
        <color rgb="FF0079B8"/>
        <rFont val="Rubik"/>
      </rPr>
      <t>https://fl-insider.circle.so/c/debriefing/</t>
    </r>
    <r>
      <rPr>
        <b/>
        <sz val="10"/>
        <color rgb="FF0079B8"/>
        <rFont val="Rubik"/>
      </rPr>
      <t xml:space="preserve"> </t>
    </r>
  </si>
  <si>
    <r>
      <rPr>
        <sz val="10"/>
        <rFont val="Rubik"/>
      </rPr>
      <t xml:space="preserve">Poste na comunidade o Criativo que teve o melhor resultado seguindo a orientação do post no space 👉 </t>
    </r>
    <r>
      <rPr>
        <b/>
        <u/>
        <sz val="10"/>
        <color rgb="FF0079B8"/>
        <rFont val="Rubik"/>
      </rPr>
      <t>https://fl-insider.circle.so/c/criativos-criativos/</t>
    </r>
  </si>
  <si>
    <r>
      <rPr>
        <sz val="10"/>
        <color theme="1"/>
        <rFont val="Rubik"/>
      </rPr>
      <t>A</t>
    </r>
    <r>
      <rPr>
        <sz val="10"/>
        <color theme="1"/>
        <rFont val="Rubik"/>
      </rPr>
      <t>pós</t>
    </r>
    <r>
      <rPr>
        <sz val="10"/>
        <color theme="1"/>
        <rFont val="Rubik"/>
      </rPr>
      <t xml:space="preserve"> </t>
    </r>
    <r>
      <rPr>
        <sz val="10"/>
        <color theme="1"/>
        <rFont val="Rubik"/>
      </rPr>
      <t xml:space="preserve">análise de lançamento solicite a </t>
    </r>
    <r>
      <rPr>
        <sz val="10"/>
        <color theme="1"/>
        <rFont val="Rubik"/>
      </rPr>
      <t>call de pós-análise</t>
    </r>
    <r>
      <rPr>
        <sz val="10"/>
        <color theme="1"/>
        <rFont val="Rubik"/>
      </rPr>
      <t xml:space="preserve"> com o seu </t>
    </r>
    <r>
      <rPr>
        <sz val="10"/>
        <color theme="1"/>
        <rFont val="Rubik"/>
      </rPr>
      <t>navegador(a)</t>
    </r>
  </si>
  <si>
    <t>PARABÉNS! VOCÊ CONCLUIU SEU LANÇAMENTO!</t>
  </si>
  <si>
    <t>1. Crie uma pesquisa de Avatar que será enviada posteriormente para suas leads no e-mail/mensagem de obrigado.</t>
  </si>
  <si>
    <t>2. Verifique o domínio do Facebook - 👨‍🏫 Aula de verificação do Domínio da sua Página no Facebook</t>
  </si>
  <si>
    <t>💡 É importante que você registre o histórico diário da sua captação e dos seus criativos para otimizar de forma assertiva suas campanhas.
     Para isso use as Abas PLANEJAMENTO DE LEADS e PLANEJAMENTO DE CRIATIVOS que estão disponíveis na sua PLANILHA DE TRÁFEGO</t>
  </si>
  <si>
    <t>📂 Acesse: LAUNCH DRIVE  ➔  1) DOCUMENTAÇÃO DE LANÇAMENTO  ➔  8) PLANILHA DE TRÁFEGO  ➔  Aba: "LEADS | PLANEJAMENTO" e "CRIATIVOS | PLANEJAMENTO"</t>
  </si>
  <si>
    <t>Pasta 1) Documentação de Lançamento -&gt; 8) Planilha de Tráfego</t>
  </si>
  <si>
    <t>Verifique o domínio do Facebook
👨‍🏫 Aula de verificação do Domínio da sua Página no Facebook</t>
  </si>
  <si>
    <t>Caso tenha dificuldade para concluir alguma atividade da fase de "Pré-requisitos", você pode ir ajustando as atividades paralelamente às atividades desta fase.</t>
  </si>
  <si>
    <t>Durante a etapa de Construção da Lista de Inscritos (CLI), você deverá fazer conteúdos que antecipem o evento de lançamento (CPLs), direcionado para as leads inscritas e para o público que ainda não se inscreveu. Esses conteúdos fazem parte do "Aquecimento dos Inscritos" e você pode utilizar todos os canais de contato com o avatar para publicá-los: lives, reels, stories e áudios nos grupos.</t>
  </si>
  <si>
    <t>Além disso, você deverá postar os conteúdos de aquecimento (reels, stories, lives e áudios de WhatsApp) e enviar as notificações de pré-lançamento.</t>
  </si>
  <si>
    <t>Pasta 1) Documentação de Lançamento -&gt; 9) Planilha de Tráfego -&gt; Aba PLANEJAMENTO DE LEADS e Aba PLANEJAMENTO DE CRIATIVOS</t>
  </si>
  <si>
    <t>Utilize o documento 6, para fazer o orçamento e planejamento das métricas da campanha</t>
  </si>
  <si>
    <t>💡  Lembre-se de seguir o Script de Reels e seguir com o planejamento.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</si>
</sst>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3">
    <font>
      <sz val="10"/>
      <color rgb="FF000000"/>
      <name val="Arial"/>
      <scheme val="minor"/>
    </font>
    <font>
      <sz val="10"/>
      <color theme="1"/>
      <name val="Helvetica Neue"/>
    </font>
    <font>
      <b/>
      <sz val="10"/>
      <color rgb="FFD9D9D9"/>
      <name val="Helvetica Neue"/>
    </font>
    <font>
      <sz val="10"/>
      <name val="Arial"/>
    </font>
    <font>
      <sz val="10"/>
      <color theme="1"/>
      <name val="Arial"/>
    </font>
    <font>
      <b/>
      <sz val="10"/>
      <color theme="1"/>
      <name val="Century Gothic"/>
    </font>
    <font>
      <sz val="10"/>
      <color theme="1"/>
      <name val="Lexend"/>
    </font>
    <font>
      <sz val="11"/>
      <color theme="1"/>
      <name val="Lexend"/>
    </font>
    <font>
      <sz val="10"/>
      <color theme="1"/>
      <name val="Noto Sans SC"/>
    </font>
    <font>
      <sz val="9"/>
      <color rgb="FF0079B8"/>
      <name val="Lexend"/>
    </font>
    <font>
      <b/>
      <sz val="11"/>
      <color rgb="FFFFFFFF"/>
      <name val="Lexend"/>
    </font>
    <font>
      <b/>
      <sz val="8"/>
      <color rgb="FFEFEFEF"/>
      <name val="Lexend"/>
    </font>
    <font>
      <b/>
      <sz val="8"/>
      <color rgb="FFEFEFEF"/>
      <name val="Montserrat"/>
    </font>
    <font>
      <b/>
      <sz val="20"/>
      <color rgb="FFFFFFFF"/>
      <name val="Jost"/>
    </font>
    <font>
      <b/>
      <sz val="12"/>
      <color theme="1"/>
      <name val="Jost"/>
    </font>
    <font>
      <b/>
      <sz val="11"/>
      <color rgb="FFCFE2F3"/>
      <name val="Montserrat"/>
    </font>
    <font>
      <b/>
      <sz val="12"/>
      <color rgb="FF282D58"/>
      <name val="Jost"/>
    </font>
    <font>
      <sz val="10"/>
      <color rgb="FF282D58"/>
      <name val="Jost"/>
    </font>
    <font>
      <sz val="10"/>
      <color theme="1"/>
      <name val="Rubik"/>
    </font>
    <font>
      <sz val="10"/>
      <color theme="1"/>
      <name val="Rubik"/>
    </font>
    <font>
      <sz val="10"/>
      <color theme="1"/>
      <name val="Helvetica"/>
    </font>
    <font>
      <b/>
      <sz val="11"/>
      <color rgb="FF282D58"/>
      <name val="Jost"/>
    </font>
    <font>
      <sz val="10"/>
      <color rgb="FF000000"/>
      <name val="Rubik"/>
    </font>
    <font>
      <b/>
      <sz val="11"/>
      <color rgb="FF282D58"/>
      <name val="Montserrat"/>
    </font>
    <font>
      <sz val="11"/>
      <color rgb="FF000000"/>
      <name val="Rubik"/>
    </font>
    <font>
      <sz val="10"/>
      <color rgb="FF000000"/>
      <name val="Rubik"/>
    </font>
    <font>
      <sz val="10"/>
      <color rgb="FFD92365"/>
      <name val="&quot;Helvetica Neue&quot;"/>
    </font>
    <font>
      <sz val="9"/>
      <color rgb="FF282D58"/>
      <name val="Jost"/>
    </font>
    <font>
      <b/>
      <sz val="10"/>
      <color theme="1"/>
      <name val="Rubik"/>
    </font>
    <font>
      <sz val="10"/>
      <color rgb="FFCFE2F3"/>
      <name val="Helvetica Neue"/>
    </font>
    <font>
      <sz val="14"/>
      <color rgb="FFF3F3F3"/>
      <name val="Josefin Sans"/>
    </font>
    <font>
      <sz val="9"/>
      <color rgb="FF252E59"/>
      <name val="Lexend"/>
    </font>
    <font>
      <sz val="10"/>
      <color rgb="FFD1D1CF"/>
      <name val="Helvetica Neue"/>
    </font>
    <font>
      <b/>
      <sz val="7"/>
      <color rgb="FFFFFFFF"/>
      <name val="Montserrat"/>
    </font>
    <font>
      <b/>
      <sz val="8"/>
      <color rgb="FFFFFFFF"/>
      <name val="Helvetica Neue"/>
    </font>
    <font>
      <b/>
      <sz val="14"/>
      <color rgb="FFFFFFFF"/>
      <name val="Helvetica Neue"/>
    </font>
    <font>
      <b/>
      <sz val="6"/>
      <color rgb="FF2F3D40"/>
      <name val="Helvetica Neue"/>
    </font>
    <font>
      <b/>
      <sz val="13"/>
      <color theme="1"/>
      <name val="Jost"/>
    </font>
    <font>
      <b/>
      <sz val="11"/>
      <color theme="1"/>
      <name val="Jost"/>
    </font>
    <font>
      <sz val="12"/>
      <color theme="1"/>
      <name val="Lexend"/>
    </font>
    <font>
      <u/>
      <sz val="10"/>
      <color rgb="FF0000FF"/>
      <name val="Lexend"/>
    </font>
    <font>
      <sz val="10"/>
      <color theme="1"/>
      <name val="Lexend"/>
    </font>
    <font>
      <sz val="12"/>
      <color theme="1"/>
      <name val="Rubik"/>
    </font>
    <font>
      <sz val="10"/>
      <color theme="1"/>
      <name val="Jost"/>
    </font>
    <font>
      <sz val="10"/>
      <color rgb="FF0000FF"/>
      <name val="Rubik"/>
    </font>
    <font>
      <sz val="10"/>
      <color rgb="FF999999"/>
      <name val="&quot;Helvetica Neue&quot;"/>
    </font>
    <font>
      <i/>
      <u/>
      <sz val="9"/>
      <color rgb="FF0000FF"/>
      <name val="Lexend"/>
    </font>
    <font>
      <b/>
      <sz val="12"/>
      <color rgb="FF000000"/>
      <name val="Jost"/>
    </font>
    <font>
      <b/>
      <sz val="10"/>
      <color rgb="FF000000"/>
      <name val="Jost"/>
    </font>
    <font>
      <sz val="10"/>
      <color rgb="FF999999"/>
      <name val="Rubik"/>
    </font>
    <font>
      <b/>
      <sz val="10"/>
      <color theme="1"/>
      <name val="Rubik"/>
    </font>
    <font>
      <b/>
      <sz val="10"/>
      <color rgb="FF000000"/>
      <name val="Jost"/>
    </font>
    <font>
      <u/>
      <sz val="10"/>
      <color rgb="FF1155CC"/>
      <name val="Rubik"/>
    </font>
    <font>
      <u/>
      <sz val="10"/>
      <color rgb="FF00547F"/>
      <name val="Rubik"/>
    </font>
    <font>
      <i/>
      <sz val="10"/>
      <color theme="1"/>
      <name val="Rubik"/>
    </font>
    <font>
      <u/>
      <sz val="10"/>
      <color rgb="FF1155CC"/>
      <name val="Rubik"/>
    </font>
    <font>
      <b/>
      <sz val="10"/>
      <color rgb="FF000000"/>
      <name val="Rubik"/>
    </font>
    <font>
      <i/>
      <u/>
      <sz val="9"/>
      <color rgb="FF0000FF"/>
      <name val="Rubik"/>
    </font>
    <font>
      <u/>
      <sz val="10"/>
      <color rgb="FF0000FF"/>
      <name val="Helvetica Neue"/>
    </font>
    <font>
      <u/>
      <sz val="10"/>
      <color rgb="FF0000FF"/>
      <name val="Helvetica Neue"/>
    </font>
    <font>
      <sz val="10"/>
      <color theme="1"/>
      <name val="Helvetica Neue"/>
    </font>
    <font>
      <i/>
      <u/>
      <sz val="9"/>
      <color rgb="FF0000FF"/>
      <name val="Rubik"/>
    </font>
    <font>
      <u/>
      <sz val="10"/>
      <color rgb="FF1155CC"/>
      <name val="Rubik"/>
    </font>
    <font>
      <u/>
      <sz val="10"/>
      <color rgb="FF373839"/>
      <name val="Rubik"/>
    </font>
    <font>
      <u/>
      <sz val="10"/>
      <color rgb="FF373839"/>
      <name val="Rubik"/>
    </font>
    <font>
      <u/>
      <sz val="10"/>
      <color rgb="FF0000FF"/>
      <name val="Rubik"/>
    </font>
    <font>
      <u/>
      <sz val="10"/>
      <color rgb="FF0000FF"/>
      <name val="Rubik"/>
    </font>
    <font>
      <u/>
      <sz val="10"/>
      <color rgb="FF0000FF"/>
      <name val="Rubik"/>
    </font>
    <font>
      <b/>
      <sz val="14"/>
      <color rgb="FFF3F3F3"/>
      <name val="Josefin Sans"/>
    </font>
    <font>
      <sz val="10"/>
      <color theme="1"/>
      <name val="Arial"/>
      <scheme val="minor"/>
    </font>
    <font>
      <b/>
      <sz val="10"/>
      <color rgb="FF000000"/>
      <name val="Lexend"/>
    </font>
    <font>
      <sz val="10"/>
      <color rgb="FF000000"/>
      <name val="Lexend"/>
    </font>
    <font>
      <u/>
      <sz val="10"/>
      <color rgb="FF0000FF"/>
      <name val="Lexend"/>
    </font>
    <font>
      <u/>
      <sz val="10"/>
      <color rgb="FF0000FF"/>
      <name val="Lexend"/>
    </font>
    <font>
      <b/>
      <sz val="10"/>
      <color theme="1"/>
      <name val="Lexend"/>
    </font>
    <font>
      <sz val="10"/>
      <color rgb="FF000000"/>
      <name val="Lexend"/>
    </font>
    <font>
      <u/>
      <sz val="10"/>
      <color rgb="FF0000FF"/>
      <name val="Lexend"/>
    </font>
    <font>
      <sz val="13"/>
      <color theme="1"/>
      <name val="Rubik"/>
    </font>
    <font>
      <sz val="10"/>
      <color theme="1"/>
      <name val="Arial"/>
    </font>
    <font>
      <sz val="10"/>
      <color rgb="FF999999"/>
      <name val="Rubik"/>
    </font>
    <font>
      <i/>
      <u/>
      <sz val="10"/>
      <color rgb="FF0000FF"/>
      <name val="Rubik"/>
    </font>
    <font>
      <i/>
      <sz val="10"/>
      <color rgb="FF0000FF"/>
      <name val="Rubik"/>
    </font>
    <font>
      <i/>
      <u/>
      <sz val="10"/>
      <color rgb="FF0000FF"/>
      <name val="Rubik"/>
    </font>
    <font>
      <i/>
      <sz val="10"/>
      <color rgb="FF000000"/>
      <name val="Rubik"/>
    </font>
    <font>
      <i/>
      <u/>
      <sz val="10"/>
      <color rgb="FF0000FF"/>
      <name val="Rubik"/>
    </font>
    <font>
      <b/>
      <sz val="10"/>
      <color rgb="FF000000"/>
      <name val="Montserrat"/>
    </font>
    <font>
      <b/>
      <sz val="10"/>
      <color theme="1"/>
      <name val="Jost"/>
    </font>
    <font>
      <b/>
      <sz val="10"/>
      <color rgb="FF000000"/>
      <name val="Rubik"/>
    </font>
    <font>
      <i/>
      <u/>
      <sz val="10"/>
      <color rgb="FF0000FF"/>
      <name val="Rubik"/>
    </font>
    <font>
      <b/>
      <sz val="10"/>
      <color theme="1"/>
      <name val="&quot;Helvetica Neue&quot;"/>
    </font>
    <font>
      <sz val="10"/>
      <color theme="1"/>
      <name val="&quot;Helvetica Neue&quot;"/>
    </font>
    <font>
      <b/>
      <sz val="10"/>
      <color rgb="FFFFFFFF"/>
      <name val="Montserrat"/>
    </font>
    <font>
      <sz val="10"/>
      <color rgb="FF4FA8F0"/>
      <name val="Arial"/>
      <scheme val="minor"/>
    </font>
    <font>
      <sz val="10"/>
      <color rgb="FF4FA8F0"/>
      <name val="Helvetica Neue"/>
    </font>
    <font>
      <i/>
      <u/>
      <sz val="10"/>
      <color rgb="FF0000FF"/>
      <name val="Lexend"/>
    </font>
    <font>
      <sz val="10"/>
      <color rgb="FF666666"/>
      <name val="Rubik"/>
    </font>
    <font>
      <sz val="12"/>
      <color theme="1"/>
      <name val="Arial"/>
      <scheme val="minor"/>
    </font>
    <font>
      <i/>
      <u/>
      <sz val="10"/>
      <color rgb="FF0000FF"/>
      <name val="Rubik"/>
    </font>
    <font>
      <b/>
      <sz val="10"/>
      <color rgb="FF4FA8F0"/>
      <name val="Montserrat"/>
    </font>
    <font>
      <b/>
      <sz val="10"/>
      <color theme="1"/>
      <name val="Jost"/>
    </font>
    <font>
      <sz val="9"/>
      <color rgb="FFFFFFFF"/>
      <name val="Helvetica"/>
    </font>
    <font>
      <sz val="10"/>
      <color rgb="FF999999"/>
      <name val="Helvetica Neue"/>
    </font>
    <font>
      <sz val="9"/>
      <color rgb="FF282D58"/>
      <name val="Lexend"/>
    </font>
    <font>
      <b/>
      <sz val="10"/>
      <color rgb="FF4FA8F0"/>
      <name val="Montserrat"/>
    </font>
    <font>
      <b/>
      <sz val="10"/>
      <color rgb="FF282D58"/>
      <name val="Montserrat"/>
    </font>
    <font>
      <u/>
      <sz val="10"/>
      <color rgb="FF0000FF"/>
      <name val="Lexend"/>
    </font>
    <font>
      <u/>
      <sz val="10"/>
      <color rgb="FF0000FF"/>
      <name val="Lexend"/>
    </font>
    <font>
      <u/>
      <sz val="10"/>
      <color rgb="FF0000FF"/>
      <name val="Lexend"/>
    </font>
    <font>
      <u/>
      <sz val="10"/>
      <color rgb="FF0000FF"/>
      <name val="Lexend"/>
    </font>
    <font>
      <u/>
      <sz val="10"/>
      <color rgb="FF1155CC"/>
      <name val="Lexend"/>
    </font>
    <font>
      <sz val="15"/>
      <color theme="1"/>
      <name val="Rubik"/>
    </font>
    <font>
      <sz val="15"/>
      <color theme="1"/>
      <name val="Lexend"/>
    </font>
    <font>
      <sz val="10"/>
      <color theme="1"/>
      <name val="Jost"/>
    </font>
    <font>
      <b/>
      <sz val="10"/>
      <color rgb="FFFFFFFF"/>
      <name val="Jost"/>
    </font>
    <font>
      <b/>
      <sz val="10"/>
      <color rgb="FF000000"/>
      <name val="Lexend"/>
    </font>
    <font>
      <b/>
      <sz val="9"/>
      <color rgb="FF000000"/>
      <name val="Montserrat"/>
    </font>
    <font>
      <b/>
      <sz val="10"/>
      <color theme="1"/>
      <name val="&quot;Helvetica Neue&quot;"/>
    </font>
    <font>
      <sz val="10"/>
      <color rgb="FF000000"/>
      <name val="Arial"/>
    </font>
    <font>
      <sz val="10"/>
      <color rgb="FF000000"/>
      <name val="Montserrat"/>
    </font>
    <font>
      <b/>
      <sz val="10"/>
      <color rgb="FF666666"/>
      <name val="Rubik"/>
    </font>
    <font>
      <sz val="9"/>
      <color rgb="FF0079B8"/>
      <name val="Montserrat"/>
    </font>
    <font>
      <b/>
      <i/>
      <sz val="12"/>
      <color rgb="FF282D58"/>
      <name val="Jost"/>
    </font>
    <font>
      <sz val="9"/>
      <color rgb="FF0079B8"/>
      <name val="Jost"/>
    </font>
    <font>
      <i/>
      <sz val="10"/>
      <color theme="1"/>
      <name val="Rubik"/>
    </font>
    <font>
      <i/>
      <u/>
      <sz val="10"/>
      <color rgb="FF0000FF"/>
      <name val="Rubik"/>
    </font>
    <font>
      <i/>
      <u/>
      <sz val="10"/>
      <color rgb="FF0000FF"/>
      <name val="Rubik"/>
    </font>
    <font>
      <i/>
      <u/>
      <sz val="10"/>
      <color rgb="FF0000FF"/>
      <name val="Rubik"/>
    </font>
    <font>
      <i/>
      <u/>
      <sz val="10"/>
      <color rgb="FF0000FF"/>
      <name val="Rubik"/>
    </font>
    <font>
      <b/>
      <sz val="10"/>
      <color rgb="FFCFE2F3"/>
      <name val="Rubik"/>
    </font>
    <font>
      <b/>
      <sz val="10"/>
      <color rgb="FF252E59"/>
      <name val="Jost"/>
    </font>
    <font>
      <b/>
      <sz val="10"/>
      <color rgb="FFFFFFFF"/>
      <name val="Montserrat"/>
    </font>
    <font>
      <i/>
      <u/>
      <sz val="10"/>
      <color rgb="FF0000FF"/>
      <name val="Rubik"/>
    </font>
    <font>
      <i/>
      <u/>
      <sz val="10"/>
      <color rgb="FF0000FF"/>
      <name val="Rubik"/>
    </font>
    <font>
      <i/>
      <u/>
      <sz val="10"/>
      <color rgb="FF0000FF"/>
      <name val="Rubik"/>
    </font>
    <font>
      <i/>
      <u/>
      <sz val="10"/>
      <color rgb="FF0000FF"/>
      <name val="Rubik"/>
    </font>
    <font>
      <sz val="10"/>
      <color rgb="FF1F1F1F"/>
      <name val="Rubik"/>
    </font>
    <font>
      <sz val="10"/>
      <color theme="1"/>
      <name val="Montserrat"/>
    </font>
    <font>
      <i/>
      <u/>
      <sz val="10"/>
      <color rgb="FF0000FF"/>
      <name val="Rubik"/>
    </font>
    <font>
      <i/>
      <u/>
      <sz val="10"/>
      <color rgb="FF0000FF"/>
      <name val="Rubik"/>
    </font>
    <font>
      <i/>
      <u/>
      <sz val="10"/>
      <color rgb="FF1155CC"/>
      <name val="Rubik"/>
    </font>
    <font>
      <i/>
      <u/>
      <sz val="10"/>
      <color rgb="FF1155CC"/>
      <name val="Rubik"/>
    </font>
    <font>
      <i/>
      <u/>
      <sz val="10"/>
      <color rgb="FF0000FF"/>
      <name val="Rubik"/>
    </font>
    <font>
      <sz val="10"/>
      <color theme="1"/>
      <name val="&quot;Helvetica Neue&quot;"/>
    </font>
    <font>
      <i/>
      <u/>
      <sz val="10"/>
      <color rgb="FF0000FF"/>
      <name val="Rubik"/>
    </font>
    <font>
      <i/>
      <u/>
      <sz val="10"/>
      <color rgb="FF0000FF"/>
      <name val="Rubik"/>
    </font>
    <font>
      <i/>
      <u/>
      <sz val="10"/>
      <color rgb="FF0000FF"/>
      <name val="Rubik"/>
    </font>
    <font>
      <i/>
      <u/>
      <sz val="10"/>
      <color rgb="FF0000FF"/>
      <name val="Rubik"/>
    </font>
    <font>
      <sz val="10"/>
      <color rgb="FF0087CC"/>
      <name val="Rubik"/>
    </font>
    <font>
      <i/>
      <u/>
      <sz val="10"/>
      <color rgb="FF0000FF"/>
      <name val="Rubik"/>
    </font>
    <font>
      <b/>
      <sz val="10"/>
      <color rgb="FF252E59"/>
      <name val="Rubik"/>
    </font>
    <font>
      <sz val="10"/>
      <color rgb="FF373839"/>
      <name val="Rubik"/>
    </font>
    <font>
      <b/>
      <sz val="12"/>
      <color rgb="FF252E59"/>
      <name val="Jost"/>
    </font>
    <font>
      <u/>
      <sz val="10"/>
      <color rgb="FF0000FF"/>
      <name val="Rubik"/>
    </font>
    <font>
      <i/>
      <u/>
      <sz val="10"/>
      <color rgb="FF0000FF"/>
      <name val="Rubik"/>
    </font>
    <font>
      <b/>
      <sz val="10"/>
      <color rgb="FF000000"/>
      <name val="Montserrat"/>
    </font>
    <font>
      <b/>
      <sz val="14"/>
      <color rgb="FFF3F3F3"/>
      <name val="Helvetica Neue"/>
    </font>
    <font>
      <sz val="9"/>
      <color rgb="FF4FA8F0"/>
      <name val="Helvetica Neue"/>
    </font>
    <font>
      <b/>
      <sz val="10"/>
      <color rgb="FFE8F0FE"/>
      <name val="Montserrat"/>
    </font>
    <font>
      <b/>
      <sz val="10"/>
      <color rgb="FFD0E0E3"/>
      <name val="Montserrat"/>
    </font>
    <font>
      <b/>
      <u/>
      <sz val="9"/>
      <color rgb="FF00547F"/>
      <name val="Montserrat"/>
    </font>
    <font>
      <b/>
      <sz val="9"/>
      <color rgb="FF00547F"/>
      <name val="Montserrat"/>
    </font>
    <font>
      <sz val="9"/>
      <color rgb="FF0079B8"/>
      <name val="&quot;Helvetica Neue&quot;"/>
    </font>
    <font>
      <i/>
      <sz val="10"/>
      <color rgb="FF0087CC"/>
      <name val="&quot;Helvetica Neue&quot;"/>
    </font>
    <font>
      <sz val="10"/>
      <color rgb="FF0087CC"/>
      <name val="&quot;Helvetica Neue&quot;"/>
    </font>
    <font>
      <b/>
      <u/>
      <sz val="9"/>
      <color rgb="FF006EA6"/>
      <name val="Montserrat"/>
    </font>
    <font>
      <b/>
      <sz val="9"/>
      <color rgb="FF006EA6"/>
      <name val="Montserrat"/>
    </font>
    <font>
      <b/>
      <sz val="10"/>
      <color rgb="FFD0E0E3"/>
      <name val="Montserrat"/>
    </font>
    <font>
      <sz val="10"/>
      <color rgb="FFFFFFFF"/>
      <name val="Montserrat"/>
    </font>
    <font>
      <sz val="10"/>
      <color rgb="FF000000"/>
      <name val="&quot;Helvetica Neue&quot;"/>
    </font>
    <font>
      <sz val="9"/>
      <color rgb="FF00547F"/>
      <name val="Montserrat"/>
    </font>
    <font>
      <b/>
      <u/>
      <sz val="10"/>
      <color rgb="FF000000"/>
      <name val="&quot;Helvetica Neue&quot;"/>
    </font>
    <font>
      <b/>
      <sz val="10"/>
      <color rgb="FF000000"/>
      <name val="&quot;Helvetica Neue&quot;"/>
    </font>
    <font>
      <b/>
      <u/>
      <sz val="9"/>
      <color rgb="FF0079B8"/>
      <name val="Montserrat"/>
    </font>
    <font>
      <b/>
      <sz val="9"/>
      <color rgb="FF0079B8"/>
      <name val="Montserrat"/>
    </font>
    <font>
      <b/>
      <sz val="10"/>
      <color rgb="FF00547F"/>
      <name val="&quot;Helvetica Neue&quot;"/>
    </font>
    <font>
      <b/>
      <u/>
      <sz val="9"/>
      <color rgb="FF00547F"/>
      <name val="Montserrat"/>
    </font>
    <font>
      <b/>
      <u/>
      <sz val="10"/>
      <color rgb="FF0000FF"/>
      <name val="&quot;Helvetica Neue&quot;"/>
    </font>
    <font>
      <b/>
      <u/>
      <sz val="10"/>
      <color rgb="FF373839"/>
      <name val="&quot;Helvetica Neue&quot;"/>
    </font>
    <font>
      <b/>
      <u/>
      <sz val="10"/>
      <color rgb="FF373839"/>
      <name val="&quot;Helvetica Neue&quot;"/>
    </font>
    <font>
      <b/>
      <u/>
      <sz val="10"/>
      <color rgb="FF0000FF"/>
      <name val="&quot;Helvetica Neue&quot;"/>
    </font>
    <font>
      <b/>
      <u/>
      <sz val="10"/>
      <color rgb="FF0000FF"/>
      <name val="&quot;Helvetica Neue&quot;"/>
    </font>
    <font>
      <b/>
      <sz val="10"/>
      <color rgb="FF0079B8"/>
      <name val="Helvetica Neue"/>
    </font>
    <font>
      <sz val="10"/>
      <color rgb="FF0087CC"/>
      <name val="Helvetica Neue"/>
    </font>
    <font>
      <b/>
      <sz val="9"/>
      <color rgb="FF000000"/>
      <name val="Helvetica"/>
    </font>
    <font>
      <sz val="10"/>
      <color rgb="FF0087CC"/>
      <name val="Helvetica Neue"/>
    </font>
    <font>
      <b/>
      <sz val="10"/>
      <color rgb="FF0079B8"/>
      <name val="&quot;Helvetica Neue&quot;"/>
    </font>
    <font>
      <sz val="9"/>
      <color rgb="FF006EA6"/>
      <name val="Montserrat"/>
    </font>
    <font>
      <b/>
      <sz val="10"/>
      <color rgb="FFCFE2F3"/>
      <name val="Montserrat"/>
    </font>
    <font>
      <b/>
      <u/>
      <sz val="10"/>
      <color rgb="FF0000FF"/>
      <name val="&quot;Helvetica Neue&quot;"/>
    </font>
    <font>
      <b/>
      <sz val="14"/>
      <color rgb="FFFFFFFF"/>
      <name val="Josefin Sans"/>
    </font>
    <font>
      <b/>
      <sz val="10"/>
      <color theme="1"/>
      <name val="Arial"/>
      <scheme val="minor"/>
    </font>
    <font>
      <b/>
      <sz val="10"/>
      <color rgb="FFC9DAF8"/>
      <name val="Montserrat"/>
    </font>
    <font>
      <sz val="12"/>
      <color theme="1"/>
      <name val="Jost"/>
    </font>
    <font>
      <b/>
      <sz val="12"/>
      <color rgb="FFC9DAF8"/>
      <name val="Jost"/>
    </font>
    <font>
      <b/>
      <sz val="12"/>
      <color rgb="FF2F3D40"/>
      <name val="Jost"/>
    </font>
    <font>
      <i/>
      <u/>
      <sz val="10"/>
      <color rgb="FF0000FF"/>
      <name val="Rubik"/>
    </font>
    <font>
      <sz val="10"/>
      <color rgb="FFFF0000"/>
      <name val="Arial"/>
    </font>
    <font>
      <b/>
      <sz val="10"/>
      <color rgb="FFFF0000"/>
      <name val="Montserrat"/>
    </font>
    <font>
      <i/>
      <sz val="10"/>
      <color theme="1"/>
      <name val="Lexend"/>
    </font>
    <font>
      <i/>
      <sz val="9"/>
      <color theme="1"/>
      <name val="Rubik"/>
    </font>
    <font>
      <sz val="9"/>
      <color theme="1"/>
      <name val="Rubik"/>
    </font>
    <font>
      <b/>
      <sz val="10"/>
      <color rgb="FF4FA8F0"/>
      <name val="Rubik"/>
    </font>
    <font>
      <sz val="10"/>
      <color rgb="FF282D58"/>
      <name val="Rubik"/>
    </font>
    <font>
      <i/>
      <sz val="10"/>
      <color rgb="FF282D58"/>
      <name val="Rubik"/>
    </font>
    <font>
      <b/>
      <u/>
      <sz val="10"/>
      <color rgb="FF0000FF"/>
      <name val="Rubik"/>
    </font>
    <font>
      <b/>
      <sz val="12"/>
      <color rgb="FF282D58"/>
      <name val="Rubik"/>
    </font>
    <font>
      <b/>
      <sz val="10"/>
      <color rgb="FF0087CC"/>
      <name val="Rubik"/>
    </font>
    <font>
      <sz val="10"/>
      <color rgb="FF999999"/>
      <name val="Lexend"/>
    </font>
    <font>
      <u/>
      <sz val="10"/>
      <color rgb="FF0000FF"/>
      <name val="Lexend"/>
    </font>
    <font>
      <u/>
      <sz val="10"/>
      <color rgb="FF0000FF"/>
      <name val="Lexend"/>
    </font>
    <font>
      <sz val="10"/>
      <color rgb="FF000000"/>
      <name val="Docs-Rubik"/>
    </font>
    <font>
      <i/>
      <u/>
      <sz val="10"/>
      <color rgb="FF0000FF"/>
      <name val="Rubik"/>
    </font>
    <font>
      <b/>
      <i/>
      <sz val="9"/>
      <color rgb="FF000000"/>
      <name val="Rubik"/>
    </font>
    <font>
      <b/>
      <i/>
      <sz val="10"/>
      <color rgb="FF0087CC"/>
      <name val="&quot;Helvetica Neue&quot;"/>
    </font>
    <font>
      <i/>
      <u/>
      <sz val="10"/>
      <color rgb="FF0000FF"/>
      <name val="Rubik"/>
    </font>
    <font>
      <u/>
      <sz val="10"/>
      <color rgb="FF0000FF"/>
      <name val="Rubik"/>
    </font>
    <font>
      <b/>
      <sz val="14"/>
      <color rgb="FFD1D1CF"/>
      <name val="Helvetica Neue"/>
    </font>
    <font>
      <b/>
      <sz val="10"/>
      <color theme="1"/>
      <name val="Helvetica Neue"/>
    </font>
    <font>
      <b/>
      <sz val="16"/>
      <color rgb="FFFFFFFF"/>
      <name val="Jost"/>
    </font>
    <font>
      <b/>
      <sz val="10"/>
      <color rgb="FF0079B8"/>
      <name val="Rubik"/>
    </font>
    <font>
      <sz val="10"/>
      <color rgb="FF0079B8"/>
      <name val="Rubik"/>
    </font>
    <font>
      <sz val="10"/>
      <color rgb="FFF26800"/>
      <name val="Rubik"/>
    </font>
    <font>
      <b/>
      <sz val="10"/>
      <name val="Helvetica Neue"/>
    </font>
    <font>
      <sz val="10"/>
      <name val="Helvetica Neue"/>
    </font>
    <font>
      <b/>
      <u/>
      <sz val="10"/>
      <color rgb="FF006EA6"/>
      <name val="Helvetica Neue"/>
    </font>
    <font>
      <sz val="9"/>
      <color rgb="FFD92365"/>
      <name val="Montserrat"/>
    </font>
    <font>
      <b/>
      <sz val="9"/>
      <color rgb="FF373839"/>
      <name val="Rubik"/>
    </font>
    <font>
      <sz val="9"/>
      <color rgb="FF0079B8"/>
      <name val="Rubik"/>
    </font>
    <font>
      <sz val="10"/>
      <name val="Rubik"/>
    </font>
    <font>
      <b/>
      <i/>
      <sz val="11"/>
      <color theme="1"/>
      <name val="Jost"/>
    </font>
    <font>
      <i/>
      <sz val="10"/>
      <name val="Rubik"/>
    </font>
    <font>
      <sz val="10"/>
      <color theme="1"/>
      <name val="&quot;Helvetica Neue&quot;, Arial"/>
    </font>
    <font>
      <sz val="10"/>
      <color rgb="FF0087CC"/>
      <name val="&quot;Helvetica Neue&quot;, Arial"/>
    </font>
    <font>
      <sz val="10"/>
      <color rgb="FF0000FF"/>
      <name val="&quot;Helvetica Neue&quot;, Arial"/>
    </font>
    <font>
      <sz val="10"/>
      <color rgb="FFD92365"/>
      <name val="&quot;Helvetica Neue&quot;, Arial"/>
    </font>
    <font>
      <u/>
      <sz val="10"/>
      <color theme="1"/>
      <name val="Rubik"/>
    </font>
    <font>
      <sz val="10"/>
      <color rgb="FF00547F"/>
      <name val="Rubik"/>
    </font>
    <font>
      <sz val="10"/>
      <color rgb="FFD92365"/>
      <name val="Rubik"/>
    </font>
    <font>
      <b/>
      <sz val="9"/>
      <color rgb="FF0087CC"/>
      <name val="Rubik"/>
    </font>
    <font>
      <b/>
      <sz val="9"/>
      <color rgb="FF4FA8F0"/>
      <name val="Helvetica Neue"/>
    </font>
    <font>
      <b/>
      <sz val="10"/>
      <color rgb="FFFFFFFF"/>
      <name val="Montserrat, Arial"/>
    </font>
    <font>
      <b/>
      <sz val="10"/>
      <color rgb="FF0000FF"/>
      <name val="Montserrat, Arial"/>
    </font>
    <font>
      <sz val="10"/>
      <color rgb="FFFFFFFF"/>
      <name val="Montserrat, Arial"/>
    </font>
    <font>
      <b/>
      <sz val="9"/>
      <color rgb="FF00547F"/>
      <name val="Montserrat, Arial"/>
    </font>
    <font>
      <b/>
      <u/>
      <sz val="9"/>
      <color rgb="FF00547F"/>
      <name val="Montserrat, Arial"/>
    </font>
    <font>
      <b/>
      <sz val="10"/>
      <color theme="1"/>
      <name val="&quot;Helvetica Neue&quot;, Arial"/>
    </font>
    <font>
      <sz val="9"/>
      <color rgb="FF0079B8"/>
      <name val="&quot;Helvetica Neue&quot;, Arial"/>
    </font>
    <font>
      <i/>
      <sz val="10"/>
      <color theme="1"/>
      <name val="&quot;Helvetica Neue&quot;, Arial"/>
    </font>
    <font>
      <b/>
      <sz val="10"/>
      <color rgb="FF0087CC"/>
      <name val="&quot;Helvetica Neue&quot;, Arial"/>
    </font>
    <font>
      <b/>
      <sz val="9"/>
      <color rgb="FF006EA6"/>
      <name val="Montserrat, Arial"/>
    </font>
    <font>
      <b/>
      <u/>
      <sz val="9"/>
      <color rgb="FF006EA6"/>
      <name val="Montserrat, Arial"/>
    </font>
    <font>
      <b/>
      <sz val="10"/>
      <color rgb="FF000000"/>
      <name val="&quot;Helvetica Neue&quot;, Arial"/>
    </font>
    <font>
      <sz val="10"/>
      <color rgb="FF000000"/>
      <name val="&quot;Helvetica Neue&quot;, Arial"/>
    </font>
    <font>
      <b/>
      <u/>
      <sz val="10"/>
      <color rgb="FF006EA6"/>
      <name val="&quot;Helvetica Neue&quot;, Arial"/>
    </font>
    <font>
      <sz val="9"/>
      <color rgb="FF000000"/>
      <name val="Montserrat"/>
    </font>
    <font>
      <sz val="9"/>
      <color rgb="FF00547F"/>
      <name val="Montserrat, Arial"/>
    </font>
    <font>
      <b/>
      <sz val="9"/>
      <color rgb="FF3C78D8"/>
      <name val="Montserrat"/>
    </font>
    <font>
      <b/>
      <sz val="9"/>
      <color rgb="FF0079B8"/>
      <name val="Montserrat, Arial"/>
    </font>
    <font>
      <b/>
      <u/>
      <sz val="9"/>
      <color rgb="FF0079B8"/>
      <name val="Montserrat, Arial"/>
    </font>
    <font>
      <b/>
      <sz val="10"/>
      <name val="&quot;Helvetica Neue&quot;, Arial"/>
    </font>
    <font>
      <sz val="10"/>
      <name val="&quot;Helvetica Neue&quot;, Arial"/>
    </font>
    <font>
      <b/>
      <sz val="10"/>
      <color rgb="FF0079B8"/>
      <name val="&quot;Helvetica Neue&quot;, Arial"/>
    </font>
    <font>
      <b/>
      <sz val="9"/>
      <color rgb="FF0079B8"/>
      <name val="&quot;Helvetica Neue&quot;, Arial"/>
    </font>
    <font>
      <b/>
      <u/>
      <sz val="9"/>
      <color rgb="FF00547F"/>
      <name val="&quot;Helvetica Neue&quot;, Arial"/>
    </font>
    <font>
      <b/>
      <sz val="10"/>
      <color rgb="FF373839"/>
      <name val="&quot;Helvetica Neue&quot;, Arial"/>
    </font>
    <font>
      <sz val="10"/>
      <color rgb="FF373839"/>
      <name val="&quot;Helvetica Neue&quot;, Arial"/>
    </font>
    <font>
      <b/>
      <sz val="10"/>
      <color rgb="FF0087CC"/>
      <name val="Helvetica Neue"/>
    </font>
    <font>
      <u/>
      <sz val="10"/>
      <color rgb="FF000000"/>
      <name val="Rubik"/>
    </font>
    <font>
      <u/>
      <sz val="10"/>
      <color rgb="FF0079B8"/>
      <name val="Rubik"/>
    </font>
    <font>
      <b/>
      <sz val="10"/>
      <name val="Rubik"/>
    </font>
    <font>
      <sz val="9"/>
      <color rgb="FF0087CC"/>
      <name val="Rubik"/>
    </font>
    <font>
      <b/>
      <sz val="9"/>
      <color theme="1"/>
      <name val="Rubik"/>
    </font>
    <font>
      <b/>
      <u/>
      <sz val="10"/>
      <color rgb="FF0079B8"/>
      <name val="Rubik"/>
    </font>
  </fonts>
  <fills count="21">
    <fill>
      <patternFill patternType="none"/>
    </fill>
    <fill>
      <patternFill patternType="gray125"/>
    </fill>
    <fill>
      <patternFill patternType="solid">
        <fgColor rgb="FF495786"/>
        <bgColor rgb="FF49578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728BB6"/>
        <bgColor rgb="FF728BB6"/>
      </patternFill>
    </fill>
    <fill>
      <patternFill patternType="solid">
        <fgColor rgb="FFB7E1CD"/>
        <bgColor rgb="FFB7E1CD"/>
      </patternFill>
    </fill>
    <fill>
      <patternFill patternType="solid">
        <fgColor rgb="FF9FC5E8"/>
        <bgColor rgb="FF9FC5E8"/>
      </patternFill>
    </fill>
    <fill>
      <patternFill patternType="solid">
        <fgColor rgb="FFEAF2FF"/>
        <bgColor rgb="FFEAF2FF"/>
      </patternFill>
    </fill>
    <fill>
      <patternFill patternType="solid">
        <fgColor rgb="FFA4C2F4"/>
        <bgColor rgb="FFA4C2F4"/>
      </patternFill>
    </fill>
    <fill>
      <patternFill patternType="solid">
        <fgColor rgb="FFE8F0FE"/>
        <bgColor rgb="FFE8F0FE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3A2C"/>
        <bgColor rgb="FFD93A2C"/>
      </patternFill>
    </fill>
    <fill>
      <patternFill patternType="solid">
        <fgColor rgb="FFA61C00"/>
        <bgColor rgb="FFA61C00"/>
      </patternFill>
    </fill>
    <fill>
      <patternFill patternType="solid">
        <fgColor rgb="FFD26A61"/>
        <bgColor rgb="FFD26A61"/>
      </patternFill>
    </fill>
    <fill>
      <patternFill patternType="solid">
        <fgColor rgb="FFFEF8E3"/>
        <bgColor rgb="FFFEF8E3"/>
      </patternFill>
    </fill>
    <fill>
      <patternFill patternType="solid">
        <fgColor rgb="FFEFEFEF"/>
        <bgColor rgb="FFEFEFEF"/>
      </patternFill>
    </fill>
    <fill>
      <patternFill patternType="solid">
        <fgColor theme="7"/>
        <bgColor theme="7"/>
      </patternFill>
    </fill>
  </fills>
  <borders count="160">
    <border>
      <left/>
      <right/>
      <top/>
      <bottom/>
      <diagonal/>
    </border>
    <border>
      <left style="thin">
        <color rgb="FF495786"/>
      </left>
      <right style="thin">
        <color rgb="FF495786"/>
      </right>
      <top style="thin">
        <color rgb="FF495786"/>
      </top>
      <bottom style="thin">
        <color rgb="FF495786"/>
      </bottom>
      <diagonal/>
    </border>
    <border>
      <left/>
      <right/>
      <top style="thin">
        <color rgb="FF728BB6"/>
      </top>
      <bottom style="thin">
        <color rgb="FF728BB6"/>
      </bottom>
      <diagonal/>
    </border>
    <border>
      <left/>
      <right style="thin">
        <color rgb="FF728BB6"/>
      </right>
      <top style="thin">
        <color rgb="FF728BB6"/>
      </top>
      <bottom style="thin">
        <color rgb="FF728BB6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495786"/>
      </left>
      <right/>
      <top style="thin">
        <color rgb="FF495786"/>
      </top>
      <bottom style="thin">
        <color rgb="FF495786"/>
      </bottom>
      <diagonal/>
    </border>
    <border>
      <left/>
      <right/>
      <top style="thin">
        <color rgb="FF495786"/>
      </top>
      <bottom style="thin">
        <color rgb="FF495786"/>
      </bottom>
      <diagonal/>
    </border>
    <border>
      <left/>
      <right style="thin">
        <color rgb="FF495786"/>
      </right>
      <top style="thin">
        <color rgb="FF495786"/>
      </top>
      <bottom style="thin">
        <color rgb="FF495786"/>
      </bottom>
      <diagonal/>
    </border>
    <border>
      <left style="thin">
        <color rgb="FF495786"/>
      </left>
      <right style="thin">
        <color rgb="FF495786"/>
      </right>
      <top style="thin">
        <color rgb="FF495786"/>
      </top>
      <bottom/>
      <diagonal/>
    </border>
    <border>
      <left style="thin">
        <color rgb="FF495786"/>
      </left>
      <right style="thin">
        <color rgb="FF495786"/>
      </right>
      <top/>
      <bottom/>
      <diagonal/>
    </border>
    <border>
      <left style="thin">
        <color rgb="FF495786"/>
      </left>
      <right style="thin">
        <color rgb="FF495786"/>
      </right>
      <top/>
      <bottom style="thin">
        <color rgb="FF495786"/>
      </bottom>
      <diagonal/>
    </border>
    <border>
      <left style="thin">
        <color rgb="FFB7E1CD"/>
      </left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728BB6"/>
      </top>
      <bottom/>
      <diagonal/>
    </border>
    <border>
      <left/>
      <right style="thin">
        <color rgb="FF728BB6"/>
      </right>
      <top style="thin">
        <color rgb="FF728BB6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728BB6"/>
      </left>
      <right/>
      <top style="thin">
        <color rgb="FF728BB6"/>
      </top>
      <bottom style="thin">
        <color rgb="FF728BB6"/>
      </bottom>
      <diagonal/>
    </border>
    <border>
      <left style="thin">
        <color rgb="FF728BB6"/>
      </left>
      <right style="thin">
        <color rgb="FF728BB6"/>
      </right>
      <top style="thin">
        <color rgb="FF728BB6"/>
      </top>
      <bottom style="thin">
        <color rgb="FF728BB6"/>
      </bottom>
      <diagonal/>
    </border>
    <border>
      <left style="thin">
        <color rgb="FF728BB6"/>
      </left>
      <right style="thin">
        <color rgb="FF728BB6"/>
      </right>
      <top style="thin">
        <color rgb="FF728BB6"/>
      </top>
      <bottom/>
      <diagonal/>
    </border>
    <border>
      <left style="thin">
        <color rgb="FF728BB6"/>
      </left>
      <right style="thin">
        <color rgb="FF728BB6"/>
      </right>
      <top/>
      <bottom/>
      <diagonal/>
    </border>
    <border>
      <left style="thin">
        <color rgb="FF728BB6"/>
      </left>
      <right style="thin">
        <color rgb="FF728BB6"/>
      </right>
      <top/>
      <bottom style="thin">
        <color rgb="FF728BB6"/>
      </bottom>
      <diagonal/>
    </border>
    <border>
      <left style="thin">
        <color rgb="FF728BB6"/>
      </left>
      <right/>
      <top style="thin">
        <color rgb="FF728BB6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9FC5E8"/>
      </right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EFEFEF"/>
      </top>
      <bottom style="thin">
        <color rgb="FFEFEFEF"/>
      </bottom>
      <diagonal/>
    </border>
    <border>
      <left style="thin">
        <color rgb="FFFFFFF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FFFFFF"/>
      </right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 style="thin">
        <color rgb="FFD9D9D9"/>
      </right>
      <top/>
      <bottom/>
      <diagonal/>
    </border>
    <border>
      <left style="thin">
        <color rgb="FFEAF2FF"/>
      </left>
      <right style="thin">
        <color rgb="FFEAF2FF"/>
      </right>
      <top style="thin">
        <color rgb="FFEAF2FF"/>
      </top>
      <bottom style="thin">
        <color rgb="FFEAF2FF"/>
      </bottom>
      <diagonal/>
    </border>
    <border>
      <left/>
      <right style="thin">
        <color rgb="FFFFFFFF"/>
      </right>
      <top/>
      <bottom style="thin">
        <color rgb="FFEFEFEF"/>
      </bottom>
      <diagonal/>
    </border>
    <border>
      <left/>
      <right/>
      <top/>
      <bottom style="thin">
        <color rgb="FFEFEFEF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/>
      <right style="thin">
        <color rgb="FFFFFFFF"/>
      </right>
      <top/>
      <bottom style="thin">
        <color rgb="FFD9D9D9"/>
      </bottom>
      <diagonal/>
    </border>
    <border>
      <left/>
      <right/>
      <top style="thin">
        <color rgb="FFFFFFFF"/>
      </top>
      <bottom style="thin">
        <color rgb="FFD9D9D9"/>
      </bottom>
      <diagonal/>
    </border>
    <border>
      <left/>
      <right style="thin">
        <color rgb="FFD9D9D9"/>
      </right>
      <top style="thin">
        <color rgb="FFFFFFFF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FFFFFF"/>
      </right>
      <top style="thin">
        <color rgb="FFD9D9D9"/>
      </top>
      <bottom style="thin">
        <color rgb="FFD9D9D9"/>
      </bottom>
      <diagonal/>
    </border>
    <border>
      <left style="thin">
        <color rgb="FFEAF2FF"/>
      </left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FFFFFF"/>
      </bottom>
      <diagonal/>
    </border>
    <border>
      <left/>
      <right style="thin">
        <color rgb="FFD9D9D9"/>
      </right>
      <top style="thin">
        <color rgb="FFD9D9D9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 style="thin">
        <color rgb="FFEAF2FF"/>
      </top>
      <bottom style="thin">
        <color rgb="FFEAF2FF"/>
      </bottom>
      <diagonal/>
    </border>
    <border>
      <left/>
      <right style="thin">
        <color rgb="FFEAF2FF"/>
      </right>
      <top style="thin">
        <color rgb="FFEAF2FF"/>
      </top>
      <bottom style="thin">
        <color rgb="FFEAF2FF"/>
      </bottom>
      <diagonal/>
    </border>
    <border>
      <left/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D9D9D9"/>
      </bottom>
      <diagonal/>
    </border>
    <border>
      <left style="thin">
        <color rgb="FFFFFFFF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FFFFFF"/>
      </right>
      <top style="thin">
        <color rgb="FFD9D9D9"/>
      </top>
      <bottom/>
      <diagonal/>
    </border>
    <border>
      <left/>
      <right style="thin">
        <color rgb="FFFFFFFF"/>
      </right>
      <top style="thin">
        <color rgb="FFD9D9D9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EFEFEF"/>
      </bottom>
      <diagonal/>
    </border>
    <border>
      <left style="thin">
        <color rgb="FFEFEFEF"/>
      </left>
      <right/>
      <top style="thin">
        <color rgb="FFFFFFFF"/>
      </top>
      <bottom style="thin">
        <color rgb="FFD9D9D9"/>
      </bottom>
      <diagonal/>
    </border>
    <border>
      <left style="thin">
        <color rgb="FFEFEFE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EAF2FF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EAF2FF"/>
      </top>
      <bottom/>
      <diagonal/>
    </border>
    <border>
      <left style="thin">
        <color rgb="FFFFFFFF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728BB6"/>
      </left>
      <right/>
      <top/>
      <bottom/>
      <diagonal/>
    </border>
    <border>
      <left/>
      <right style="thin">
        <color rgb="FFEAF2FF"/>
      </right>
      <top style="thin">
        <color rgb="FFEAF2FF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EAF2FF"/>
      </right>
      <top/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EAF2FF"/>
      </right>
      <top style="thin">
        <color rgb="FFD9D9D9"/>
      </top>
      <bottom style="thin">
        <color rgb="FFD9D9D9"/>
      </bottom>
      <diagonal/>
    </border>
    <border>
      <left style="thin">
        <color rgb="FFEAF2FF"/>
      </left>
      <right/>
      <top style="thin">
        <color rgb="FFEAF2FF"/>
      </top>
      <bottom style="thin">
        <color rgb="FFEAF2FF"/>
      </bottom>
      <diagonal/>
    </border>
    <border>
      <left/>
      <right style="thin">
        <color rgb="FFCFE2F3"/>
      </right>
      <top/>
      <bottom/>
      <diagonal/>
    </border>
    <border>
      <left style="thin">
        <color rgb="FFEAF2FF"/>
      </left>
      <right/>
      <top/>
      <bottom/>
      <diagonal/>
    </border>
    <border>
      <left/>
      <right/>
      <top style="thin">
        <color rgb="FF9FC5E8"/>
      </top>
      <bottom/>
      <diagonal/>
    </border>
    <border>
      <left/>
      <right style="thin">
        <color rgb="FF9FC5E8"/>
      </right>
      <top style="thin">
        <color rgb="FF9FC5E8"/>
      </top>
      <bottom/>
      <diagonal/>
    </border>
    <border>
      <left style="thin">
        <color rgb="FFEAF2FF"/>
      </left>
      <right/>
      <top style="thin">
        <color rgb="FFFFFFFF"/>
      </top>
      <bottom style="thin">
        <color rgb="FFFFFFFF"/>
      </bottom>
      <diagonal/>
    </border>
    <border>
      <left style="thin">
        <color rgb="FFEFEFEF"/>
      </left>
      <right/>
      <top/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/>
      <top style="thin">
        <color rgb="FFEFEFEF"/>
      </top>
      <bottom/>
      <diagonal/>
    </border>
    <border>
      <left/>
      <right/>
      <top style="thin">
        <color rgb="FFEFEFEF"/>
      </top>
      <bottom/>
      <diagonal/>
    </border>
    <border>
      <left/>
      <right/>
      <top style="thin">
        <color rgb="FFEAF2FF"/>
      </top>
      <bottom style="thin">
        <color rgb="FFFFFFFF"/>
      </bottom>
      <diagonal/>
    </border>
    <border>
      <left style="thin">
        <color rgb="FFEAF2FF"/>
      </left>
      <right/>
      <top style="thin">
        <color rgb="FFEAF2FF"/>
      </top>
      <bottom style="thin">
        <color rgb="FFFFFFFF"/>
      </bottom>
      <diagonal/>
    </border>
    <border>
      <left/>
      <right/>
      <top style="thin">
        <color rgb="FFC9DAF8"/>
      </top>
      <bottom style="thin">
        <color rgb="FFC9DAF8"/>
      </bottom>
      <diagonal/>
    </border>
    <border>
      <left/>
      <right style="thin">
        <color rgb="FFC9DAF8"/>
      </right>
      <top style="thin">
        <color rgb="FFC9DAF8"/>
      </top>
      <bottom style="thin">
        <color rgb="FFC9DAF8"/>
      </bottom>
      <diagonal/>
    </border>
    <border>
      <left/>
      <right/>
      <top style="thin">
        <color rgb="FFCFE2F3"/>
      </top>
      <bottom style="thin">
        <color rgb="FFCFE2F3"/>
      </bottom>
      <diagonal/>
    </border>
    <border>
      <left/>
      <right style="thin">
        <color rgb="FFCFE2F3"/>
      </right>
      <top style="thin">
        <color rgb="FFCFE2F3"/>
      </top>
      <bottom style="thin">
        <color rgb="FFCFE2F3"/>
      </bottom>
      <diagonal/>
    </border>
    <border>
      <left/>
      <right style="thin">
        <color rgb="FFCFE2F3"/>
      </right>
      <top style="thin">
        <color rgb="FFEAF2FF"/>
      </top>
      <bottom/>
      <diagonal/>
    </border>
    <border>
      <left style="thin">
        <color rgb="FF9FC5E8"/>
      </left>
      <right style="thin">
        <color rgb="FF728BB6"/>
      </right>
      <top style="thin">
        <color rgb="FF9FC5E8"/>
      </top>
      <bottom style="thin">
        <color rgb="FF9FC5E8"/>
      </bottom>
      <diagonal/>
    </border>
    <border>
      <left/>
      <right style="thin">
        <color rgb="FF9FC5E8"/>
      </right>
      <top style="thin">
        <color rgb="FF9FC5E8"/>
      </top>
      <bottom style="thin">
        <color rgb="FF9FC5E8"/>
      </bottom>
      <diagonal/>
    </border>
    <border>
      <left style="thin">
        <color rgb="FF9FC5E8"/>
      </left>
      <right/>
      <top style="thin">
        <color rgb="FF9FC5E8"/>
      </top>
      <bottom style="thin">
        <color rgb="FF9FC5E8"/>
      </bottom>
      <diagonal/>
    </border>
    <border>
      <left/>
      <right/>
      <top style="thin">
        <color rgb="FF9FC5E8"/>
      </top>
      <bottom style="thin">
        <color rgb="FF9FC5E8"/>
      </bottom>
      <diagonal/>
    </border>
    <border>
      <left style="thin">
        <color rgb="FF728BB6"/>
      </left>
      <right style="thin">
        <color rgb="FF9FC5E8"/>
      </right>
      <top style="thin">
        <color rgb="FF9FC5E8"/>
      </top>
      <bottom style="thin">
        <color rgb="FF9FC5E8"/>
      </bottom>
      <diagonal/>
    </border>
    <border>
      <left style="thin">
        <color rgb="FF728BB6"/>
      </left>
      <right/>
      <top style="thin">
        <color rgb="FFFFFFFF"/>
      </top>
      <bottom/>
      <diagonal/>
    </border>
    <border>
      <left/>
      <right style="thin">
        <color rgb="FF728BB6"/>
      </right>
      <top style="thin">
        <color rgb="FFFFFFFF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728BB6"/>
      </right>
      <top/>
      <bottom/>
      <diagonal/>
    </border>
    <border>
      <left style="thin">
        <color rgb="FFEAF2FF"/>
      </left>
      <right style="thin">
        <color rgb="FFEAF2FF"/>
      </right>
      <top style="thin">
        <color rgb="FFD9D9D9"/>
      </top>
      <bottom style="thin">
        <color rgb="FFEAF2FF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EAF2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/>
      <top/>
      <bottom/>
      <diagonal/>
    </border>
    <border>
      <left/>
      <right/>
      <top style="thin">
        <color rgb="FFD9D9D9"/>
      </top>
      <bottom style="thin">
        <color rgb="FFEAF2FF"/>
      </bottom>
      <diagonal/>
    </border>
    <border>
      <left/>
      <right style="thin">
        <color rgb="FFEAF2FF"/>
      </right>
      <top style="thin">
        <color rgb="FFD9D9D9"/>
      </top>
      <bottom style="thin">
        <color rgb="FFEAF2FF"/>
      </bottom>
      <diagonal/>
    </border>
    <border>
      <left style="thin">
        <color rgb="FFEAF2FF"/>
      </left>
      <right/>
      <top style="thin">
        <color rgb="FFD9D9D9"/>
      </top>
      <bottom style="thin">
        <color rgb="FFEAF2FF"/>
      </bottom>
      <diagonal/>
    </border>
    <border>
      <left style="thin">
        <color rgb="FFD93A2C"/>
      </left>
      <right/>
      <top style="thin">
        <color rgb="FFD93A2C"/>
      </top>
      <bottom/>
      <diagonal/>
    </border>
    <border>
      <left/>
      <right/>
      <top style="thin">
        <color rgb="FFD93A2C"/>
      </top>
      <bottom/>
      <diagonal/>
    </border>
    <border>
      <left/>
      <right style="thin">
        <color rgb="FFD93A2C"/>
      </right>
      <top style="thin">
        <color rgb="FFD93A2C"/>
      </top>
      <bottom/>
      <diagonal/>
    </border>
    <border>
      <left style="thin">
        <color rgb="FFD93A2C"/>
      </left>
      <right style="thin">
        <color rgb="FFD93A2C"/>
      </right>
      <top style="thin">
        <color rgb="FFD93A2C"/>
      </top>
      <bottom style="thin">
        <color rgb="FFD93A2C"/>
      </bottom>
      <diagonal/>
    </border>
    <border>
      <left style="thin">
        <color rgb="FFD93A2C"/>
      </left>
      <right/>
      <top/>
      <bottom style="thin">
        <color rgb="FFD93A2C"/>
      </bottom>
      <diagonal/>
    </border>
    <border>
      <left/>
      <right/>
      <top/>
      <bottom style="thin">
        <color rgb="FFD93A2C"/>
      </bottom>
      <diagonal/>
    </border>
    <border>
      <left/>
      <right style="thin">
        <color rgb="FFD93A2C"/>
      </right>
      <top/>
      <bottom style="thin">
        <color rgb="FFD93A2C"/>
      </bottom>
      <diagonal/>
    </border>
    <border>
      <left style="thin">
        <color rgb="FFD93A2C"/>
      </left>
      <right/>
      <top style="thin">
        <color rgb="FFD93A2C"/>
      </top>
      <bottom style="thin">
        <color rgb="FFD93A2C"/>
      </bottom>
      <diagonal/>
    </border>
    <border>
      <left/>
      <right/>
      <top style="thin">
        <color rgb="FFD93A2C"/>
      </top>
      <bottom style="thin">
        <color rgb="FFD93A2C"/>
      </bottom>
      <diagonal/>
    </border>
    <border>
      <left/>
      <right style="thin">
        <color rgb="FFD93A2C"/>
      </right>
      <top style="thin">
        <color rgb="FFD93A2C"/>
      </top>
      <bottom style="thin">
        <color rgb="FFD93A2C"/>
      </bottom>
      <diagonal/>
    </border>
    <border>
      <left style="thin">
        <color rgb="FFD93A2C"/>
      </left>
      <right style="thin">
        <color rgb="FFD93A2C"/>
      </right>
      <top style="thin">
        <color rgb="FFD93A2C"/>
      </top>
      <bottom/>
      <diagonal/>
    </border>
    <border>
      <left style="thin">
        <color rgb="FFD93A2C"/>
      </left>
      <right style="thin">
        <color rgb="FFD93A2C"/>
      </right>
      <top/>
      <bottom/>
      <diagonal/>
    </border>
    <border>
      <left style="thin">
        <color rgb="FFD93A2C"/>
      </left>
      <right style="thin">
        <color rgb="FFD93A2C"/>
      </right>
      <top/>
      <bottom style="thin">
        <color rgb="FFD93A2C"/>
      </bottom>
      <diagonal/>
    </border>
    <border>
      <left/>
      <right style="thin">
        <color rgb="FF252E59"/>
      </right>
      <top/>
      <bottom style="thin">
        <color rgb="FFFFFFFF"/>
      </bottom>
      <diagonal/>
    </border>
    <border>
      <left style="thin">
        <color rgb="FFD26A61"/>
      </left>
      <right/>
      <top style="thin">
        <color rgb="FFD26A61"/>
      </top>
      <bottom style="thin">
        <color rgb="FFD26A61"/>
      </bottom>
      <diagonal/>
    </border>
    <border>
      <left/>
      <right/>
      <top style="thin">
        <color rgb="FFD26A61"/>
      </top>
      <bottom style="thin">
        <color rgb="FFD26A61"/>
      </bottom>
      <diagonal/>
    </border>
    <border>
      <left/>
      <right style="thin">
        <color rgb="FFD26A61"/>
      </right>
      <top style="thin">
        <color rgb="FFD26A61"/>
      </top>
      <bottom style="thin">
        <color rgb="FFD26A61"/>
      </bottom>
      <diagonal/>
    </border>
    <border>
      <left style="thin">
        <color rgb="FFD93A2C"/>
      </left>
      <right/>
      <top style="thin">
        <color rgb="FFD93A2C"/>
      </top>
      <bottom style="thin">
        <color rgb="FFFFFFFF"/>
      </bottom>
      <diagonal/>
    </border>
    <border>
      <left/>
      <right/>
      <top style="thin">
        <color rgb="FFD93A2C"/>
      </top>
      <bottom style="thin">
        <color rgb="FFFFFFFF"/>
      </bottom>
      <diagonal/>
    </border>
    <border>
      <left style="thin">
        <color rgb="FFD93A2C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D93A2C"/>
      </right>
      <top style="thin">
        <color rgb="FFFFFFFF"/>
      </top>
      <bottom style="thin">
        <color rgb="FFFFFFFF"/>
      </bottom>
      <diagonal/>
    </border>
    <border>
      <left style="thin">
        <color rgb="FFD93A2C"/>
      </left>
      <right/>
      <top/>
      <bottom style="thin">
        <color rgb="FFFFFFFF"/>
      </bottom>
      <diagonal/>
    </border>
    <border>
      <left/>
      <right style="thin">
        <color rgb="FFD93A2C"/>
      </right>
      <top/>
      <bottom style="thin">
        <color rgb="FFFFFFFF"/>
      </bottom>
      <diagonal/>
    </border>
    <border>
      <left style="thin">
        <color rgb="FFD93A2C"/>
      </left>
      <right style="thin">
        <color rgb="FFFFFFFF"/>
      </right>
      <top/>
      <bottom style="thin">
        <color rgb="FFFFFFF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EAF2FF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CCCCCC"/>
      </bottom>
      <diagonal/>
    </border>
    <border>
      <left/>
      <right/>
      <top style="thin">
        <color rgb="FFFFFFFF"/>
      </top>
      <bottom style="thin">
        <color rgb="FFCCCCCC"/>
      </bottom>
      <diagonal/>
    </border>
    <border>
      <left/>
      <right style="thin">
        <color rgb="FFCCCCCC"/>
      </right>
      <top style="thin">
        <color rgb="FFFFFFFF"/>
      </top>
      <bottom style="thin">
        <color rgb="FFCCCCCC"/>
      </bottom>
      <diagonal/>
    </border>
    <border>
      <left/>
      <right/>
      <top style="thin">
        <color rgb="FF9FC5E8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34A853"/>
      </left>
      <right/>
      <top style="thin">
        <color rgb="FF34A853"/>
      </top>
      <bottom style="thin">
        <color rgb="FF34A853"/>
      </bottom>
      <diagonal/>
    </border>
    <border>
      <left/>
      <right/>
      <top style="thin">
        <color rgb="FF34A853"/>
      </top>
      <bottom style="thin">
        <color rgb="FF34A853"/>
      </bottom>
      <diagonal/>
    </border>
    <border>
      <left/>
      <right style="thin">
        <color rgb="FF34A853"/>
      </right>
      <top style="thin">
        <color rgb="FF34A853"/>
      </top>
      <bottom style="thin">
        <color rgb="FF34A853"/>
      </bottom>
      <diagonal/>
    </border>
    <border>
      <left style="thin">
        <color rgb="FF728BB6"/>
      </left>
      <right/>
      <top/>
      <bottom style="thin">
        <color rgb="FF728BB6"/>
      </bottom>
      <diagonal/>
    </border>
    <border>
      <left/>
      <right/>
      <top/>
      <bottom style="thin">
        <color rgb="FF728BB6"/>
      </bottom>
      <diagonal/>
    </border>
    <border>
      <left/>
      <right style="thin">
        <color rgb="FF728BB6"/>
      </right>
      <top/>
      <bottom style="thin">
        <color rgb="FF728BB6"/>
      </bottom>
      <diagonal/>
    </border>
  </borders>
  <cellStyleXfs count="1">
    <xf numFmtId="0" fontId="0" fillId="0" borderId="0"/>
  </cellStyleXfs>
  <cellXfs count="913">
    <xf numFmtId="0" fontId="0" fillId="0" borderId="0" xfId="0"/>
    <xf numFmtId="0" fontId="1" fillId="2" borderId="1" xfId="0" applyFont="1" applyFill="1" applyBorder="1"/>
    <xf numFmtId="0" fontId="6" fillId="3" borderId="6" xfId="0" applyFont="1" applyFill="1" applyBorder="1" applyAlignment="1">
      <alignment vertical="center"/>
    </xf>
    <xf numFmtId="0" fontId="6" fillId="4" borderId="4" xfId="0" applyFont="1" applyFill="1" applyBorder="1"/>
    <xf numFmtId="14" fontId="7" fillId="4" borderId="6" xfId="0" applyNumberFormat="1" applyFont="1" applyFill="1" applyBorder="1" applyAlignment="1">
      <alignment horizontal="left" vertical="center"/>
    </xf>
    <xf numFmtId="14" fontId="7" fillId="3" borderId="6" xfId="0" applyNumberFormat="1" applyFont="1" applyFill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9" fontId="12" fillId="2" borderId="1" xfId="0" applyNumberFormat="1" applyFont="1" applyFill="1" applyBorder="1" applyAlignment="1">
      <alignment horizontal="left" vertical="center"/>
    </xf>
    <xf numFmtId="0" fontId="14" fillId="6" borderId="0" xfId="0" applyFont="1" applyFill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vertical="center"/>
    </xf>
    <xf numFmtId="0" fontId="8" fillId="3" borderId="18" xfId="0" applyFont="1" applyFill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8" fillId="3" borderId="22" xfId="0" applyFont="1" applyFill="1" applyBorder="1" applyAlignment="1">
      <alignment vertical="center"/>
    </xf>
    <xf numFmtId="0" fontId="25" fillId="3" borderId="22" xfId="0" applyFont="1" applyFill="1" applyBorder="1" applyAlignment="1">
      <alignment vertical="center"/>
    </xf>
    <xf numFmtId="0" fontId="4" fillId="2" borderId="1" xfId="0" applyFont="1" applyFill="1" applyBorder="1"/>
    <xf numFmtId="0" fontId="32" fillId="5" borderId="24" xfId="0" applyFont="1" applyFill="1" applyBorder="1" applyAlignment="1">
      <alignment wrapText="1"/>
    </xf>
    <xf numFmtId="0" fontId="34" fillId="5" borderId="24" xfId="0" applyFont="1" applyFill="1" applyBorder="1" applyAlignment="1">
      <alignment horizontal="right" vertical="center" wrapText="1"/>
    </xf>
    <xf numFmtId="0" fontId="35" fillId="5" borderId="24" xfId="0" applyFont="1" applyFill="1" applyBorder="1" applyAlignment="1">
      <alignment vertical="center" wrapText="1"/>
    </xf>
    <xf numFmtId="0" fontId="35" fillId="5" borderId="23" xfId="0" applyFont="1" applyFill="1" applyBorder="1" applyAlignment="1">
      <alignment vertical="center" wrapText="1"/>
    </xf>
    <xf numFmtId="0" fontId="35" fillId="5" borderId="24" xfId="0" applyFont="1" applyFill="1" applyBorder="1" applyAlignment="1">
      <alignment wrapText="1"/>
    </xf>
    <xf numFmtId="10" fontId="35" fillId="5" borderId="23" xfId="0" applyNumberFormat="1" applyFont="1" applyFill="1" applyBorder="1" applyAlignment="1">
      <alignment vertical="center" wrapText="1"/>
    </xf>
    <xf numFmtId="0" fontId="36" fillId="5" borderId="24" xfId="0" applyFont="1" applyFill="1" applyBorder="1" applyAlignment="1">
      <alignment wrapText="1"/>
    </xf>
    <xf numFmtId="10" fontId="35" fillId="5" borderId="24" xfId="0" applyNumberFormat="1" applyFont="1" applyFill="1" applyBorder="1" applyAlignment="1">
      <alignment vertical="center" wrapText="1"/>
    </xf>
    <xf numFmtId="0" fontId="4" fillId="5" borderId="24" xfId="0" applyFont="1" applyFill="1" applyBorder="1" applyAlignment="1">
      <alignment vertical="center"/>
    </xf>
    <xf numFmtId="0" fontId="4" fillId="5" borderId="25" xfId="0" applyFont="1" applyFill="1" applyBorder="1" applyAlignment="1">
      <alignment vertical="center"/>
    </xf>
    <xf numFmtId="0" fontId="4" fillId="5" borderId="28" xfId="0" applyFont="1" applyFill="1" applyBorder="1" applyAlignment="1">
      <alignment vertical="center"/>
    </xf>
    <xf numFmtId="0" fontId="4" fillId="5" borderId="24" xfId="0" applyFont="1" applyFill="1" applyBorder="1"/>
    <xf numFmtId="0" fontId="37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6" fillId="8" borderId="19" xfId="0" applyFont="1" applyFill="1" applyBorder="1" applyAlignment="1">
      <alignment vertical="center"/>
    </xf>
    <xf numFmtId="0" fontId="39" fillId="8" borderId="19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2" fillId="3" borderId="29" xfId="0" applyFont="1" applyFill="1" applyBorder="1" applyAlignment="1">
      <alignment horizontal="center" vertical="center"/>
    </xf>
    <xf numFmtId="0" fontId="43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vertical="center"/>
    </xf>
    <xf numFmtId="0" fontId="19" fillId="3" borderId="29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 vertical="center" wrapText="1"/>
    </xf>
    <xf numFmtId="0" fontId="41" fillId="3" borderId="29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8" xfId="0" applyFont="1" applyFill="1" applyBorder="1" applyAlignment="1">
      <alignment vertical="center"/>
    </xf>
    <xf numFmtId="0" fontId="18" fillId="8" borderId="33" xfId="0" applyFont="1" applyFill="1" applyBorder="1" applyAlignment="1">
      <alignment vertical="center"/>
    </xf>
    <xf numFmtId="0" fontId="44" fillId="8" borderId="33" xfId="0" applyFont="1" applyFill="1" applyBorder="1" applyAlignment="1">
      <alignment vertical="center"/>
    </xf>
    <xf numFmtId="0" fontId="45" fillId="3" borderId="0" xfId="0" applyFont="1" applyFill="1" applyAlignment="1">
      <alignment horizontal="center" vertical="center"/>
    </xf>
    <xf numFmtId="0" fontId="45" fillId="3" borderId="35" xfId="0" applyFont="1" applyFill="1" applyBorder="1" applyAlignment="1">
      <alignment horizontal="center" vertical="center"/>
    </xf>
    <xf numFmtId="0" fontId="18" fillId="8" borderId="38" xfId="0" applyFont="1" applyFill="1" applyBorder="1" applyAlignment="1">
      <alignment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35" xfId="0" applyFont="1" applyFill="1" applyBorder="1" applyAlignment="1">
      <alignment horizontal="center" vertical="center"/>
    </xf>
    <xf numFmtId="0" fontId="49" fillId="3" borderId="42" xfId="0" applyFont="1" applyFill="1" applyBorder="1" applyAlignment="1">
      <alignment horizontal="center" vertical="center"/>
    </xf>
    <xf numFmtId="0" fontId="49" fillId="3" borderId="46" xfId="0" applyFont="1" applyFill="1" applyBorder="1" applyAlignment="1">
      <alignment horizontal="center" vertical="center"/>
    </xf>
    <xf numFmtId="0" fontId="25" fillId="8" borderId="6" xfId="0" applyFont="1" applyFill="1" applyBorder="1" applyAlignment="1">
      <alignment horizontal="center" vertical="center"/>
    </xf>
    <xf numFmtId="0" fontId="25" fillId="8" borderId="47" xfId="0" applyFont="1" applyFill="1" applyBorder="1" applyAlignment="1">
      <alignment horizontal="left" vertical="center"/>
    </xf>
    <xf numFmtId="0" fontId="52" fillId="8" borderId="6" xfId="0" applyFont="1" applyFill="1" applyBorder="1" applyAlignment="1">
      <alignment horizontal="left" vertical="center"/>
    </xf>
    <xf numFmtId="0" fontId="49" fillId="3" borderId="49" xfId="0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vertical="center"/>
    </xf>
    <xf numFmtId="0" fontId="18" fillId="8" borderId="6" xfId="0" applyFont="1" applyFill="1" applyBorder="1" applyAlignment="1">
      <alignment vertical="center"/>
    </xf>
    <xf numFmtId="0" fontId="44" fillId="8" borderId="6" xfId="0" applyFont="1" applyFill="1" applyBorder="1" applyAlignment="1">
      <alignment vertical="center"/>
    </xf>
    <xf numFmtId="0" fontId="53" fillId="8" borderId="6" xfId="0" applyFont="1" applyFill="1" applyBorder="1" applyAlignment="1">
      <alignment vertical="center"/>
    </xf>
    <xf numFmtId="0" fontId="1" fillId="5" borderId="24" xfId="0" applyFont="1" applyFill="1" applyBorder="1" applyAlignment="1">
      <alignment vertical="center"/>
    </xf>
    <xf numFmtId="0" fontId="4" fillId="8" borderId="41" xfId="0" applyFont="1" applyFill="1" applyBorder="1" applyAlignment="1">
      <alignment vertical="center"/>
    </xf>
    <xf numFmtId="0" fontId="4" fillId="3" borderId="36" xfId="0" applyFont="1" applyFill="1" applyBorder="1" applyAlignment="1">
      <alignment vertical="center"/>
    </xf>
    <xf numFmtId="0" fontId="25" fillId="8" borderId="6" xfId="0" applyFont="1" applyFill="1" applyBorder="1" applyAlignment="1">
      <alignment horizontal="right" vertical="center"/>
    </xf>
    <xf numFmtId="0" fontId="18" fillId="8" borderId="48" xfId="0" applyFont="1" applyFill="1" applyBorder="1" applyAlignment="1">
      <alignment horizontal="left" vertical="center"/>
    </xf>
    <xf numFmtId="0" fontId="55" fillId="8" borderId="6" xfId="0" applyFont="1" applyFill="1" applyBorder="1" applyAlignment="1">
      <alignment horizontal="left" vertical="center"/>
    </xf>
    <xf numFmtId="0" fontId="49" fillId="3" borderId="16" xfId="0" applyFont="1" applyFill="1" applyBorder="1" applyAlignment="1">
      <alignment horizontal="center" vertical="center"/>
    </xf>
    <xf numFmtId="0" fontId="49" fillId="3" borderId="22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vertical="center"/>
    </xf>
    <xf numFmtId="0" fontId="25" fillId="3" borderId="17" xfId="0" applyFont="1" applyFill="1" applyBorder="1" applyAlignment="1">
      <alignment vertical="center"/>
    </xf>
    <xf numFmtId="0" fontId="18" fillId="3" borderId="17" xfId="0" applyFont="1" applyFill="1" applyBorder="1" applyAlignment="1">
      <alignment vertical="center"/>
    </xf>
    <xf numFmtId="0" fontId="49" fillId="3" borderId="0" xfId="0" applyFont="1" applyFill="1" applyAlignment="1">
      <alignment horizontal="center" vertical="center"/>
    </xf>
    <xf numFmtId="0" fontId="4" fillId="3" borderId="58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25" fillId="5" borderId="24" xfId="0" applyFont="1" applyFill="1" applyBorder="1" applyAlignment="1">
      <alignment horizontal="left" wrapText="1"/>
    </xf>
    <xf numFmtId="0" fontId="18" fillId="3" borderId="0" xfId="0" applyFont="1" applyFill="1" applyAlignment="1">
      <alignment horizontal="center" vertical="center"/>
    </xf>
    <xf numFmtId="0" fontId="18" fillId="3" borderId="63" xfId="0" applyFont="1" applyFill="1" applyBorder="1" applyAlignment="1">
      <alignment horizontal="center" vertical="center"/>
    </xf>
    <xf numFmtId="0" fontId="49" fillId="8" borderId="5" xfId="0" applyFont="1" applyFill="1" applyBorder="1" applyAlignment="1">
      <alignment horizontal="center" vertical="center"/>
    </xf>
    <xf numFmtId="0" fontId="25" fillId="8" borderId="66" xfId="0" applyFont="1" applyFill="1" applyBorder="1" applyAlignment="1">
      <alignment horizontal="left" vertical="center"/>
    </xf>
    <xf numFmtId="0" fontId="62" fillId="8" borderId="53" xfId="0" applyFont="1" applyFill="1" applyBorder="1" applyAlignment="1">
      <alignment horizontal="left" vertical="center"/>
    </xf>
    <xf numFmtId="0" fontId="63" fillId="3" borderId="68" xfId="0" applyFont="1" applyFill="1" applyBorder="1" applyAlignment="1">
      <alignment vertical="center" wrapText="1"/>
    </xf>
    <xf numFmtId="0" fontId="64" fillId="3" borderId="17" xfId="0" applyFont="1" applyFill="1" applyBorder="1" applyAlignment="1">
      <alignment vertical="center" wrapText="1"/>
    </xf>
    <xf numFmtId="0" fontId="65" fillId="3" borderId="68" xfId="0" applyFont="1" applyFill="1" applyBorder="1" applyAlignment="1">
      <alignment vertical="center" wrapText="1"/>
    </xf>
    <xf numFmtId="0" fontId="66" fillId="3" borderId="17" xfId="0" applyFont="1" applyFill="1" applyBorder="1" applyAlignment="1">
      <alignment vertical="center" wrapText="1"/>
    </xf>
    <xf numFmtId="0" fontId="18" fillId="5" borderId="24" xfId="0" applyFont="1" applyFill="1" applyBorder="1" applyAlignment="1">
      <alignment vertical="center"/>
    </xf>
    <xf numFmtId="0" fontId="67" fillId="3" borderId="17" xfId="0" applyFont="1" applyFill="1" applyBorder="1" applyAlignment="1">
      <alignment vertical="center"/>
    </xf>
    <xf numFmtId="0" fontId="18" fillId="3" borderId="68" xfId="0" applyFont="1" applyFill="1" applyBorder="1" applyAlignment="1">
      <alignment vertical="center" wrapText="1"/>
    </xf>
    <xf numFmtId="0" fontId="18" fillId="3" borderId="17" xfId="0" applyFont="1" applyFill="1" applyBorder="1" applyAlignment="1">
      <alignment vertical="center" wrapText="1"/>
    </xf>
    <xf numFmtId="0" fontId="50" fillId="3" borderId="17" xfId="0" applyFont="1" applyFill="1" applyBorder="1" applyAlignment="1">
      <alignment vertical="center" wrapText="1"/>
    </xf>
    <xf numFmtId="0" fontId="50" fillId="3" borderId="70" xfId="0" applyFont="1" applyFill="1" applyBorder="1" applyAlignment="1">
      <alignment vertical="center" wrapText="1"/>
    </xf>
    <xf numFmtId="9" fontId="33" fillId="5" borderId="24" xfId="0" applyNumberFormat="1" applyFont="1" applyFill="1" applyBorder="1" applyAlignment="1">
      <alignment vertical="center" wrapText="1"/>
    </xf>
    <xf numFmtId="0" fontId="4" fillId="6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71" fillId="3" borderId="50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vertical="center" wrapText="1"/>
    </xf>
    <xf numFmtId="0" fontId="72" fillId="3" borderId="55" xfId="0" applyFont="1" applyFill="1" applyBorder="1" applyAlignment="1">
      <alignment vertical="center"/>
    </xf>
    <xf numFmtId="0" fontId="71" fillId="3" borderId="45" xfId="0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vertical="center" wrapText="1"/>
    </xf>
    <xf numFmtId="0" fontId="73" fillId="3" borderId="73" xfId="0" applyFont="1" applyFill="1" applyBorder="1" applyAlignment="1">
      <alignment vertical="center"/>
    </xf>
    <xf numFmtId="0" fontId="75" fillId="3" borderId="50" xfId="0" applyFont="1" applyFill="1" applyBorder="1" applyAlignment="1">
      <alignment horizontal="center" vertical="center"/>
    </xf>
    <xf numFmtId="0" fontId="75" fillId="3" borderId="71" xfId="0" applyFont="1" applyFill="1" applyBorder="1" applyAlignment="1">
      <alignment vertical="center"/>
    </xf>
    <xf numFmtId="0" fontId="76" fillId="3" borderId="55" xfId="0" applyFont="1" applyFill="1" applyBorder="1" applyAlignment="1">
      <alignment horizontal="left" vertical="center"/>
    </xf>
    <xf numFmtId="0" fontId="14" fillId="5" borderId="74" xfId="0" applyFont="1" applyFill="1" applyBorder="1" applyAlignment="1">
      <alignment vertical="center"/>
    </xf>
    <xf numFmtId="0" fontId="41" fillId="3" borderId="77" xfId="0" applyFont="1" applyFill="1" applyBorder="1" applyAlignment="1">
      <alignment horizontal="center" vertical="center"/>
    </xf>
    <xf numFmtId="0" fontId="41" fillId="3" borderId="78" xfId="0" applyFont="1" applyFill="1" applyBorder="1" applyAlignment="1">
      <alignment vertical="center" wrapText="1"/>
    </xf>
    <xf numFmtId="0" fontId="41" fillId="3" borderId="78" xfId="0" applyFont="1" applyFill="1" applyBorder="1" applyAlignment="1">
      <alignment vertical="center"/>
    </xf>
    <xf numFmtId="0" fontId="4" fillId="5" borderId="25" xfId="0" applyFont="1" applyFill="1" applyBorder="1" applyAlignment="1">
      <alignment vertical="center" wrapText="1"/>
    </xf>
    <xf numFmtId="0" fontId="4" fillId="5" borderId="24" xfId="0" applyFont="1" applyFill="1" applyBorder="1" applyAlignment="1">
      <alignment vertical="center" wrapText="1"/>
    </xf>
    <xf numFmtId="0" fontId="18" fillId="8" borderId="4" xfId="0" applyFont="1" applyFill="1" applyBorder="1" applyAlignment="1">
      <alignment horizontal="center" vertical="center"/>
    </xf>
    <xf numFmtId="0" fontId="78" fillId="5" borderId="25" xfId="0" applyFont="1" applyFill="1" applyBorder="1" applyAlignment="1">
      <alignment vertical="center"/>
    </xf>
    <xf numFmtId="0" fontId="79" fillId="8" borderId="57" xfId="0" applyFont="1" applyFill="1" applyBorder="1" applyAlignment="1">
      <alignment horizontal="center" vertical="center"/>
    </xf>
    <xf numFmtId="0" fontId="78" fillId="5" borderId="24" xfId="0" applyFont="1" applyFill="1" applyBorder="1" applyAlignment="1">
      <alignment vertical="center"/>
    </xf>
    <xf numFmtId="0" fontId="49" fillId="3" borderId="46" xfId="0" applyFont="1" applyFill="1" applyBorder="1" applyAlignment="1">
      <alignment vertical="center"/>
    </xf>
    <xf numFmtId="0" fontId="78" fillId="3" borderId="16" xfId="0" applyFont="1" applyFill="1" applyBorder="1" applyAlignment="1">
      <alignment horizontal="center" vertical="center"/>
    </xf>
    <xf numFmtId="0" fontId="86" fillId="8" borderId="79" xfId="0" applyFont="1" applyFill="1" applyBorder="1" applyAlignment="1">
      <alignment horizontal="center" vertical="center"/>
    </xf>
    <xf numFmtId="0" fontId="87" fillId="8" borderId="0" xfId="0" applyFont="1" applyFill="1" applyAlignment="1">
      <alignment horizontal="center" vertical="center"/>
    </xf>
    <xf numFmtId="0" fontId="88" fillId="8" borderId="85" xfId="0" applyFont="1" applyFill="1" applyBorder="1" applyAlignment="1">
      <alignment horizontal="left" vertical="center"/>
    </xf>
    <xf numFmtId="0" fontId="18" fillId="8" borderId="0" xfId="0" applyFont="1" applyFill="1" applyAlignment="1">
      <alignment horizontal="center" vertical="center"/>
    </xf>
    <xf numFmtId="0" fontId="89" fillId="3" borderId="17" xfId="0" applyFont="1" applyFill="1" applyBorder="1" applyAlignment="1">
      <alignment vertical="center" wrapText="1"/>
    </xf>
    <xf numFmtId="0" fontId="90" fillId="3" borderId="22" xfId="0" applyFont="1" applyFill="1" applyBorder="1" applyAlignment="1">
      <alignment vertical="center" wrapText="1"/>
    </xf>
    <xf numFmtId="0" fontId="92" fillId="5" borderId="24" xfId="0" applyFont="1" applyFill="1" applyBorder="1" applyAlignment="1">
      <alignment vertical="center"/>
    </xf>
    <xf numFmtId="0" fontId="93" fillId="5" borderId="24" xfId="0" applyFont="1" applyFill="1" applyBorder="1" applyAlignment="1">
      <alignment vertical="center"/>
    </xf>
    <xf numFmtId="0" fontId="69" fillId="5" borderId="24" xfId="0" applyFont="1" applyFill="1" applyBorder="1" applyAlignment="1">
      <alignment vertical="center"/>
    </xf>
    <xf numFmtId="0" fontId="95" fillId="10" borderId="57" xfId="0" applyFont="1" applyFill="1" applyBorder="1" applyAlignment="1">
      <alignment horizontal="center" vertical="center"/>
    </xf>
    <xf numFmtId="0" fontId="18" fillId="3" borderId="50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18" fillId="3" borderId="55" xfId="0" applyFont="1" applyFill="1" applyBorder="1" applyAlignment="1">
      <alignment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8" fillId="3" borderId="41" xfId="0" applyFont="1" applyFill="1" applyBorder="1" applyAlignment="1">
      <alignment horizontal="center" vertical="center"/>
    </xf>
    <xf numFmtId="0" fontId="18" fillId="3" borderId="90" xfId="0" applyFont="1" applyFill="1" applyBorder="1" applyAlignment="1">
      <alignment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vertical="center"/>
    </xf>
    <xf numFmtId="0" fontId="96" fillId="8" borderId="93" xfId="0" applyFont="1" applyFill="1" applyBorder="1" applyAlignment="1">
      <alignment vertical="center"/>
    </xf>
    <xf numFmtId="0" fontId="4" fillId="5" borderId="74" xfId="0" applyFont="1" applyFill="1" applyBorder="1" applyAlignment="1">
      <alignment vertical="center"/>
    </xf>
    <xf numFmtId="0" fontId="1" fillId="5" borderId="74" xfId="0" applyFont="1" applyFill="1" applyBorder="1" applyAlignment="1">
      <alignment vertical="center"/>
    </xf>
    <xf numFmtId="0" fontId="25" fillId="3" borderId="0" xfId="0" applyFont="1" applyFill="1" applyAlignment="1">
      <alignment vertical="center"/>
    </xf>
    <xf numFmtId="0" fontId="32" fillId="5" borderId="24" xfId="0" applyFont="1" applyFill="1" applyBorder="1" applyAlignment="1">
      <alignment vertical="center" wrapText="1"/>
    </xf>
    <xf numFmtId="0" fontId="36" fillId="5" borderId="24" xfId="0" applyFont="1" applyFill="1" applyBorder="1" applyAlignment="1">
      <alignment vertical="center" wrapText="1"/>
    </xf>
    <xf numFmtId="0" fontId="69" fillId="5" borderId="24" xfId="0" applyFont="1" applyFill="1" applyBorder="1"/>
    <xf numFmtId="0" fontId="103" fillId="5" borderId="25" xfId="0" applyFont="1" applyFill="1" applyBorder="1" applyAlignment="1">
      <alignment horizontal="left" vertical="center"/>
    </xf>
    <xf numFmtId="0" fontId="1" fillId="5" borderId="25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24" xfId="0" applyFont="1" applyFill="1" applyBorder="1"/>
    <xf numFmtId="0" fontId="14" fillId="5" borderId="24" xfId="0" applyFont="1" applyFill="1" applyBorder="1" applyAlignment="1">
      <alignment vertical="center"/>
    </xf>
    <xf numFmtId="0" fontId="6" fillId="5" borderId="24" xfId="0" applyFont="1" applyFill="1" applyBorder="1" applyAlignment="1">
      <alignment vertical="center" wrapText="1"/>
    </xf>
    <xf numFmtId="0" fontId="6" fillId="5" borderId="24" xfId="0" applyFont="1" applyFill="1" applyBorder="1" applyAlignment="1">
      <alignment horizontal="left" vertical="center" wrapText="1"/>
    </xf>
    <xf numFmtId="0" fontId="4" fillId="5" borderId="25" xfId="0" applyFont="1" applyFill="1" applyBorder="1"/>
    <xf numFmtId="0" fontId="4" fillId="5" borderId="100" xfId="0" applyFont="1" applyFill="1" applyBorder="1"/>
    <xf numFmtId="0" fontId="14" fillId="7" borderId="101" xfId="0" applyFont="1" applyFill="1" applyBorder="1" applyAlignment="1">
      <alignment vertical="center"/>
    </xf>
    <xf numFmtId="0" fontId="38" fillId="5" borderId="104" xfId="0" applyFont="1" applyFill="1" applyBorder="1" applyAlignment="1">
      <alignment vertical="center"/>
    </xf>
    <xf numFmtId="0" fontId="4" fillId="5" borderId="27" xfId="0" applyFont="1" applyFill="1" applyBorder="1"/>
    <xf numFmtId="0" fontId="70" fillId="5" borderId="27" xfId="0" applyFont="1" applyFill="1" applyBorder="1" applyAlignment="1">
      <alignment horizontal="center" vertical="center"/>
    </xf>
    <xf numFmtId="0" fontId="75" fillId="3" borderId="6" xfId="0" applyFont="1" applyFill="1" applyBorder="1" applyAlignment="1">
      <alignment horizontal="center" vertical="center"/>
    </xf>
    <xf numFmtId="0" fontId="105" fillId="3" borderId="54" xfId="0" applyFont="1" applyFill="1" applyBorder="1" applyAlignment="1">
      <alignment vertical="center"/>
    </xf>
    <xf numFmtId="0" fontId="18" fillId="5" borderId="24" xfId="0" applyFont="1" applyFill="1" applyBorder="1" applyAlignment="1">
      <alignment vertical="center" wrapText="1"/>
    </xf>
    <xf numFmtId="0" fontId="75" fillId="3" borderId="0" xfId="0" applyFont="1" applyFill="1" applyAlignment="1">
      <alignment horizontal="center" vertical="center"/>
    </xf>
    <xf numFmtId="0" fontId="106" fillId="3" borderId="0" xfId="0" applyFont="1" applyFill="1" applyAlignment="1">
      <alignment vertical="center"/>
    </xf>
    <xf numFmtId="0" fontId="107" fillId="3" borderId="0" xfId="0" applyFont="1" applyFill="1" applyAlignment="1">
      <alignment vertical="center"/>
    </xf>
    <xf numFmtId="0" fontId="108" fillId="3" borderId="0" xfId="0" applyFont="1" applyFill="1" applyAlignment="1">
      <alignment vertical="center"/>
    </xf>
    <xf numFmtId="0" fontId="74" fillId="5" borderId="24" xfId="0" applyFont="1" applyFill="1" applyBorder="1" applyAlignment="1">
      <alignment horizontal="center" vertical="center"/>
    </xf>
    <xf numFmtId="0" fontId="75" fillId="3" borderId="16" xfId="0" applyFont="1" applyFill="1" applyBorder="1" applyAlignment="1">
      <alignment horizontal="center" vertical="center"/>
    </xf>
    <xf numFmtId="0" fontId="109" fillId="3" borderId="54" xfId="0" applyFont="1" applyFill="1" applyBorder="1" applyAlignment="1">
      <alignment horizontal="left" vertical="center"/>
    </xf>
    <xf numFmtId="0" fontId="22" fillId="5" borderId="24" xfId="0" applyFont="1" applyFill="1" applyBorder="1" applyAlignment="1">
      <alignment horizontal="center" vertical="center"/>
    </xf>
    <xf numFmtId="0" fontId="41" fillId="3" borderId="16" xfId="0" applyFont="1" applyFill="1" applyBorder="1" applyAlignment="1">
      <alignment horizontal="center" vertical="center"/>
    </xf>
    <xf numFmtId="0" fontId="38" fillId="5" borderId="24" xfId="0" applyFont="1" applyFill="1" applyBorder="1" applyAlignment="1">
      <alignment vertical="center"/>
    </xf>
    <xf numFmtId="0" fontId="69" fillId="0" borderId="0" xfId="0" applyFont="1" applyAlignment="1">
      <alignment vertical="center" wrapText="1"/>
    </xf>
    <xf numFmtId="0" fontId="41" fillId="5" borderId="24" xfId="0" applyFont="1" applyFill="1" applyBorder="1" applyAlignment="1">
      <alignment vertical="center"/>
    </xf>
    <xf numFmtId="0" fontId="41" fillId="3" borderId="29" xfId="0" applyFont="1" applyFill="1" applyBorder="1" applyAlignment="1">
      <alignment horizontal="left" vertical="center" wrapText="1"/>
    </xf>
    <xf numFmtId="0" fontId="41" fillId="3" borderId="29" xfId="0" applyFont="1" applyFill="1" applyBorder="1" applyAlignment="1">
      <alignment horizontal="left" vertical="center"/>
    </xf>
    <xf numFmtId="0" fontId="41" fillId="3" borderId="29" xfId="0" applyFont="1" applyFill="1" applyBorder="1" applyAlignment="1">
      <alignment horizontal="center" vertical="center"/>
    </xf>
    <xf numFmtId="0" fontId="41" fillId="3" borderId="0" xfId="0" applyFont="1" applyFill="1" applyAlignment="1">
      <alignment vertical="center" wrapText="1"/>
    </xf>
    <xf numFmtId="0" fontId="112" fillId="5" borderId="24" xfId="0" applyFont="1" applyFill="1" applyBorder="1" applyAlignment="1">
      <alignment vertical="center"/>
    </xf>
    <xf numFmtId="0" fontId="113" fillId="5" borderId="24" xfId="0" applyFont="1" applyFill="1" applyBorder="1" applyAlignment="1">
      <alignment vertical="center"/>
    </xf>
    <xf numFmtId="0" fontId="116" fillId="5" borderId="24" xfId="0" applyFont="1" applyFill="1" applyBorder="1" applyAlignment="1">
      <alignment wrapText="1"/>
    </xf>
    <xf numFmtId="0" fontId="117" fillId="5" borderId="24" xfId="0" applyFont="1" applyFill="1" applyBorder="1"/>
    <xf numFmtId="0" fontId="118" fillId="5" borderId="24" xfId="0" applyFont="1" applyFill="1" applyBorder="1" applyAlignment="1">
      <alignment wrapText="1"/>
    </xf>
    <xf numFmtId="0" fontId="119" fillId="3" borderId="16" xfId="0" applyFont="1" applyFill="1" applyBorder="1" applyAlignment="1">
      <alignment horizontal="center" vertical="center"/>
    </xf>
    <xf numFmtId="0" fontId="120" fillId="5" borderId="24" xfId="0" applyFont="1" applyFill="1" applyBorder="1" applyAlignment="1">
      <alignment vertical="center"/>
    </xf>
    <xf numFmtId="0" fontId="112" fillId="5" borderId="24" xfId="0" applyFont="1" applyFill="1" applyBorder="1"/>
    <xf numFmtId="0" fontId="122" fillId="5" borderId="24" xfId="0" applyFont="1" applyFill="1" applyBorder="1" applyAlignment="1">
      <alignment vertical="center"/>
    </xf>
    <xf numFmtId="0" fontId="123" fillId="8" borderId="76" xfId="0" applyFont="1" applyFill="1" applyBorder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8" fillId="5" borderId="24" xfId="0" applyFont="1" applyFill="1" applyBorder="1"/>
    <xf numFmtId="0" fontId="18" fillId="3" borderId="81" xfId="0" applyFont="1" applyFill="1" applyBorder="1" applyAlignment="1">
      <alignment horizontal="center" vertical="center"/>
    </xf>
    <xf numFmtId="0" fontId="18" fillId="3" borderId="109" xfId="0" applyFont="1" applyFill="1" applyBorder="1" applyAlignment="1">
      <alignment horizontal="center" vertical="center"/>
    </xf>
    <xf numFmtId="0" fontId="103" fillId="3" borderId="31" xfId="0" applyFont="1" applyFill="1" applyBorder="1" applyAlignment="1">
      <alignment horizontal="left" vertical="center"/>
    </xf>
    <xf numFmtId="0" fontId="18" fillId="8" borderId="81" xfId="0" applyFont="1" applyFill="1" applyBorder="1" applyAlignment="1">
      <alignment vertical="center"/>
    </xf>
    <xf numFmtId="0" fontId="18" fillId="8" borderId="109" xfId="0" applyFont="1" applyFill="1" applyBorder="1" applyAlignment="1">
      <alignment horizontal="center" vertical="center"/>
    </xf>
    <xf numFmtId="0" fontId="18" fillId="8" borderId="76" xfId="0" applyFont="1" applyFill="1" applyBorder="1" applyAlignment="1">
      <alignment horizontal="center" vertical="center"/>
    </xf>
    <xf numFmtId="0" fontId="43" fillId="5" borderId="24" xfId="0" applyFont="1" applyFill="1" applyBorder="1" applyAlignment="1">
      <alignment vertical="center"/>
    </xf>
    <xf numFmtId="0" fontId="56" fillId="8" borderId="0" xfId="0" applyFont="1" applyFill="1" applyAlignment="1">
      <alignment horizontal="center" vertical="center"/>
    </xf>
    <xf numFmtId="0" fontId="112" fillId="8" borderId="114" xfId="0" applyFont="1" applyFill="1" applyBorder="1" applyAlignment="1">
      <alignment vertical="center"/>
    </xf>
    <xf numFmtId="0" fontId="130" fillId="5" borderId="24" xfId="0" applyFont="1" applyFill="1" applyBorder="1" applyAlignment="1">
      <alignment vertical="center"/>
    </xf>
    <xf numFmtId="0" fontId="131" fillId="8" borderId="16" xfId="0" applyFont="1" applyFill="1" applyBorder="1" applyAlignment="1">
      <alignment vertical="center"/>
    </xf>
    <xf numFmtId="0" fontId="132" fillId="8" borderId="22" xfId="0" applyFont="1" applyFill="1" applyBorder="1" applyAlignment="1">
      <alignment vertical="center"/>
    </xf>
    <xf numFmtId="0" fontId="18" fillId="3" borderId="45" xfId="0" applyFont="1" applyFill="1" applyBorder="1" applyAlignment="1">
      <alignment horizontal="center" vertical="center"/>
    </xf>
    <xf numFmtId="0" fontId="18" fillId="3" borderId="68" xfId="0" applyFont="1" applyFill="1" applyBorder="1" applyAlignment="1">
      <alignment horizontal="center" vertical="center"/>
    </xf>
    <xf numFmtId="0" fontId="103" fillId="3" borderId="32" xfId="0" applyFont="1" applyFill="1" applyBorder="1" applyAlignment="1">
      <alignment horizontal="left" vertical="center"/>
    </xf>
    <xf numFmtId="0" fontId="54" fillId="8" borderId="80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/>
    </xf>
    <xf numFmtId="0" fontId="135" fillId="3" borderId="68" xfId="0" applyFont="1" applyFill="1" applyBorder="1" applyAlignment="1">
      <alignment vertical="center"/>
    </xf>
    <xf numFmtId="0" fontId="136" fillId="8" borderId="4" xfId="0" applyFont="1" applyFill="1" applyBorder="1" applyAlignment="1">
      <alignment horizontal="center" vertical="center"/>
    </xf>
    <xf numFmtId="0" fontId="123" fillId="8" borderId="0" xfId="0" applyFont="1" applyFill="1" applyAlignment="1">
      <alignment horizontal="center" vertical="center"/>
    </xf>
    <xf numFmtId="0" fontId="18" fillId="3" borderId="45" xfId="0" applyFont="1" applyFill="1" applyBorder="1" applyAlignment="1">
      <alignment vertical="center"/>
    </xf>
    <xf numFmtId="0" fontId="18" fillId="3" borderId="50" xfId="0" applyFont="1" applyFill="1" applyBorder="1" applyAlignment="1">
      <alignment vertical="center"/>
    </xf>
    <xf numFmtId="0" fontId="50" fillId="8" borderId="0" xfId="0" applyFont="1" applyFill="1" applyAlignment="1">
      <alignment horizontal="center" vertical="center"/>
    </xf>
    <xf numFmtId="0" fontId="4" fillId="8" borderId="114" xfId="0" applyFont="1" applyFill="1" applyBorder="1" applyAlignment="1">
      <alignment vertical="center"/>
    </xf>
    <xf numFmtId="0" fontId="139" fillId="8" borderId="16" xfId="0" applyFont="1" applyFill="1" applyBorder="1" applyAlignment="1">
      <alignment vertical="center"/>
    </xf>
    <xf numFmtId="0" fontId="140" fillId="8" borderId="22" xfId="0" applyFont="1" applyFill="1" applyBorder="1" applyAlignment="1">
      <alignment vertical="center"/>
    </xf>
    <xf numFmtId="0" fontId="4" fillId="3" borderId="37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25" fillId="8" borderId="0" xfId="0" applyFont="1" applyFill="1" applyAlignment="1">
      <alignment horizontal="center" vertical="center"/>
    </xf>
    <xf numFmtId="0" fontId="142" fillId="5" borderId="24" xfId="0" applyFont="1" applyFill="1" applyBorder="1"/>
    <xf numFmtId="0" fontId="28" fillId="8" borderId="6" xfId="0" applyFont="1" applyFill="1" applyBorder="1" applyAlignment="1">
      <alignment horizontal="center" vertical="center"/>
    </xf>
    <xf numFmtId="0" fontId="69" fillId="0" borderId="0" xfId="0" applyFont="1" applyAlignment="1">
      <alignment horizontal="center"/>
    </xf>
    <xf numFmtId="0" fontId="18" fillId="3" borderId="45" xfId="0" applyFont="1" applyFill="1" applyBorder="1" applyAlignment="1">
      <alignment vertical="center" wrapText="1"/>
    </xf>
    <xf numFmtId="0" fontId="18" fillId="3" borderId="37" xfId="0" applyFont="1" applyFill="1" applyBorder="1" applyAlignment="1">
      <alignment vertical="center" wrapText="1"/>
    </xf>
    <xf numFmtId="0" fontId="18" fillId="3" borderId="50" xfId="0" applyFont="1" applyFill="1" applyBorder="1" applyAlignment="1">
      <alignment vertical="center" wrapText="1"/>
    </xf>
    <xf numFmtId="0" fontId="25" fillId="3" borderId="0" xfId="0" applyFont="1" applyFill="1" applyAlignment="1">
      <alignment horizontal="left"/>
    </xf>
    <xf numFmtId="0" fontId="147" fillId="8" borderId="22" xfId="0" applyFont="1" applyFill="1" applyBorder="1" applyAlignment="1">
      <alignment horizontal="center" vertical="center" wrapText="1"/>
    </xf>
    <xf numFmtId="0" fontId="18" fillId="8" borderId="114" xfId="0" applyFont="1" applyFill="1" applyBorder="1" applyAlignment="1">
      <alignment vertical="center"/>
    </xf>
    <xf numFmtId="0" fontId="18" fillId="3" borderId="71" xfId="0" applyFont="1" applyFill="1" applyBorder="1" applyAlignment="1">
      <alignment vertical="center" wrapText="1"/>
    </xf>
    <xf numFmtId="0" fontId="18" fillId="3" borderId="71" xfId="0" applyFont="1" applyFill="1" applyBorder="1" applyAlignment="1">
      <alignment horizontal="center" vertical="center"/>
    </xf>
    <xf numFmtId="0" fontId="50" fillId="3" borderId="68" xfId="0" applyFont="1" applyFill="1" applyBorder="1" applyAlignment="1">
      <alignment vertical="center" wrapText="1"/>
    </xf>
    <xf numFmtId="0" fontId="150" fillId="3" borderId="68" xfId="0" applyFont="1" applyFill="1" applyBorder="1" applyAlignment="1">
      <alignment vertical="center" wrapText="1"/>
    </xf>
    <xf numFmtId="0" fontId="18" fillId="10" borderId="0" xfId="0" applyFont="1" applyFill="1" applyAlignment="1">
      <alignment vertical="center"/>
    </xf>
    <xf numFmtId="0" fontId="96" fillId="8" borderId="16" xfId="0" applyFont="1" applyFill="1" applyBorder="1" applyAlignment="1">
      <alignment vertical="center"/>
    </xf>
    <xf numFmtId="0" fontId="50" fillId="3" borderId="107" xfId="0" applyFont="1" applyFill="1" applyBorder="1" applyAlignment="1">
      <alignment vertical="center"/>
    </xf>
    <xf numFmtId="14" fontId="18" fillId="3" borderId="78" xfId="0" applyNumberFormat="1" applyFont="1" applyFill="1" applyBorder="1" applyAlignment="1">
      <alignment horizontal="left" vertical="center"/>
    </xf>
    <xf numFmtId="0" fontId="4" fillId="3" borderId="109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0" fontId="142" fillId="5" borderId="27" xfId="0" applyFont="1" applyFill="1" applyBorder="1" applyAlignment="1">
      <alignment vertical="center"/>
    </xf>
    <xf numFmtId="0" fontId="142" fillId="5" borderId="0" xfId="0" applyFont="1" applyFill="1" applyAlignment="1">
      <alignment vertical="center"/>
    </xf>
    <xf numFmtId="0" fontId="155" fillId="15" borderId="124" xfId="0" applyFont="1" applyFill="1" applyBorder="1" applyAlignment="1">
      <alignment horizontal="center" wrapText="1"/>
    </xf>
    <xf numFmtId="0" fontId="156" fillId="15" borderId="124" xfId="0" applyFont="1" applyFill="1" applyBorder="1" applyAlignment="1">
      <alignment horizontal="center" vertical="top" wrapText="1"/>
    </xf>
    <xf numFmtId="0" fontId="32" fillId="15" borderId="124" xfId="0" applyFont="1" applyFill="1" applyBorder="1" applyAlignment="1">
      <alignment vertical="center" wrapText="1"/>
    </xf>
    <xf numFmtId="0" fontId="34" fillId="15" borderId="124" xfId="0" applyFont="1" applyFill="1" applyBorder="1" applyAlignment="1">
      <alignment horizontal="right" vertical="center" wrapText="1"/>
    </xf>
    <xf numFmtId="0" fontId="35" fillId="15" borderId="124" xfId="0" applyFont="1" applyFill="1" applyBorder="1" applyAlignment="1">
      <alignment vertical="center" wrapText="1"/>
    </xf>
    <xf numFmtId="10" fontId="35" fillId="15" borderId="124" xfId="0" applyNumberFormat="1" applyFont="1" applyFill="1" applyBorder="1" applyAlignment="1">
      <alignment vertical="center" wrapText="1"/>
    </xf>
    <xf numFmtId="0" fontId="36" fillId="15" borderId="124" xfId="0" applyFont="1" applyFill="1" applyBorder="1" applyAlignment="1">
      <alignment vertical="center" wrapText="1"/>
    </xf>
    <xf numFmtId="9" fontId="33" fillId="15" borderId="124" xfId="0" applyNumberFormat="1" applyFont="1" applyFill="1" applyBorder="1" applyAlignment="1">
      <alignment vertical="center" wrapText="1"/>
    </xf>
    <xf numFmtId="0" fontId="69" fillId="15" borderId="124" xfId="0" applyFont="1" applyFill="1" applyBorder="1"/>
    <xf numFmtId="0" fontId="103" fillId="15" borderId="124" xfId="0" applyFont="1" applyFill="1" applyBorder="1" applyAlignment="1">
      <alignment horizontal="left"/>
    </xf>
    <xf numFmtId="0" fontId="1" fillId="15" borderId="124" xfId="0" applyFont="1" applyFill="1" applyBorder="1"/>
    <xf numFmtId="0" fontId="4" fillId="15" borderId="124" xfId="0" applyFont="1" applyFill="1" applyBorder="1"/>
    <xf numFmtId="0" fontId="69" fillId="15" borderId="124" xfId="0" applyFont="1" applyFill="1" applyBorder="1" applyAlignment="1">
      <alignment vertical="center"/>
    </xf>
    <xf numFmtId="0" fontId="1" fillId="15" borderId="124" xfId="0" applyFont="1" applyFill="1" applyBorder="1" applyAlignment="1">
      <alignment vertical="center"/>
    </xf>
    <xf numFmtId="0" fontId="4" fillId="15" borderId="124" xfId="0" applyFont="1" applyFill="1" applyBorder="1" applyAlignment="1">
      <alignment vertical="center"/>
    </xf>
    <xf numFmtId="0" fontId="98" fillId="15" borderId="124" xfId="0" applyFont="1" applyFill="1" applyBorder="1" applyAlignment="1">
      <alignment vertical="center"/>
    </xf>
    <xf numFmtId="0" fontId="130" fillId="15" borderId="124" xfId="0" applyFont="1" applyFill="1" applyBorder="1" applyAlignment="1">
      <alignment horizontal="center"/>
    </xf>
    <xf numFmtId="0" fontId="160" fillId="15" borderId="124" xfId="0" applyFont="1" applyFill="1" applyBorder="1"/>
    <xf numFmtId="0" fontId="98" fillId="3" borderId="6" xfId="0" applyFont="1" applyFill="1" applyBorder="1"/>
    <xf numFmtId="0" fontId="98" fillId="15" borderId="124" xfId="0" applyFont="1" applyFill="1" applyBorder="1"/>
    <xf numFmtId="0" fontId="4" fillId="4" borderId="7" xfId="0" applyFont="1" applyFill="1" applyBorder="1"/>
    <xf numFmtId="0" fontId="116" fillId="15" borderId="124" xfId="0" applyFont="1" applyFill="1" applyBorder="1"/>
    <xf numFmtId="0" fontId="4" fillId="3" borderId="7" xfId="0" applyFont="1" applyFill="1" applyBorder="1"/>
    <xf numFmtId="0" fontId="116" fillId="15" borderId="124" xfId="0" applyFont="1" applyFill="1" applyBorder="1" applyAlignment="1">
      <alignment wrapText="1"/>
    </xf>
    <xf numFmtId="0" fontId="161" fillId="15" borderId="124" xfId="0" applyFont="1" applyFill="1" applyBorder="1"/>
    <xf numFmtId="0" fontId="116" fillId="15" borderId="124" xfId="0" applyFont="1" applyFill="1" applyBorder="1" applyAlignment="1">
      <alignment vertical="top"/>
    </xf>
    <xf numFmtId="0" fontId="162" fillId="15" borderId="124" xfId="0" applyFont="1" applyFill="1" applyBorder="1"/>
    <xf numFmtId="0" fontId="4" fillId="0" borderId="7" xfId="0" applyFont="1" applyBorder="1"/>
    <xf numFmtId="0" fontId="163" fillId="15" borderId="124" xfId="0" applyFont="1" applyFill="1" applyBorder="1" applyAlignment="1">
      <alignment wrapText="1"/>
    </xf>
    <xf numFmtId="0" fontId="163" fillId="15" borderId="124" xfId="0" applyFont="1" applyFill="1" applyBorder="1"/>
    <xf numFmtId="0" fontId="165" fillId="15" borderId="124" xfId="0" applyFont="1" applyFill="1" applyBorder="1" applyAlignment="1">
      <alignment wrapText="1"/>
    </xf>
    <xf numFmtId="0" fontId="167" fillId="15" borderId="124" xfId="0" applyFont="1" applyFill="1" applyBorder="1" applyAlignment="1">
      <alignment horizontal="center"/>
    </xf>
    <xf numFmtId="0" fontId="4" fillId="3" borderId="5" xfId="0" applyFont="1" applyFill="1" applyBorder="1"/>
    <xf numFmtId="0" fontId="4" fillId="4" borderId="5" xfId="0" applyFont="1" applyFill="1" applyBorder="1"/>
    <xf numFmtId="0" fontId="4" fillId="4" borderId="8" xfId="0" applyFont="1" applyFill="1" applyBorder="1"/>
    <xf numFmtId="0" fontId="92" fillId="15" borderId="128" xfId="0" applyFont="1" applyFill="1" applyBorder="1"/>
    <xf numFmtId="0" fontId="93" fillId="15" borderId="130" xfId="0" applyFont="1" applyFill="1" applyBorder="1"/>
    <xf numFmtId="0" fontId="92" fillId="15" borderId="124" xfId="0" applyFont="1" applyFill="1" applyBorder="1"/>
    <xf numFmtId="0" fontId="93" fillId="15" borderId="124" xfId="0" applyFont="1" applyFill="1" applyBorder="1"/>
    <xf numFmtId="0" fontId="173" fillId="15" borderId="124" xfId="0" applyFont="1" applyFill="1" applyBorder="1" applyAlignment="1">
      <alignment wrapText="1"/>
    </xf>
    <xf numFmtId="0" fontId="4" fillId="4" borderId="5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91" fillId="15" borderId="124" xfId="0" applyFont="1" applyFill="1" applyBorder="1" applyAlignment="1">
      <alignment horizontal="left"/>
    </xf>
    <xf numFmtId="0" fontId="130" fillId="15" borderId="124" xfId="0" applyFont="1" applyFill="1" applyBorder="1" applyAlignment="1">
      <alignment vertical="center"/>
    </xf>
    <xf numFmtId="0" fontId="98" fillId="15" borderId="124" xfId="0" applyFont="1" applyFill="1" applyBorder="1" applyAlignment="1">
      <alignment wrapText="1"/>
    </xf>
    <xf numFmtId="0" fontId="120" fillId="15" borderId="124" xfId="0" applyFont="1" applyFill="1" applyBorder="1" applyAlignment="1">
      <alignment vertical="center"/>
    </xf>
    <xf numFmtId="0" fontId="4" fillId="4" borderId="144" xfId="0" applyFont="1" applyFill="1" applyBorder="1" applyAlignment="1">
      <alignment horizontal="center"/>
    </xf>
    <xf numFmtId="0" fontId="4" fillId="15" borderId="130" xfId="0" applyFont="1" applyFill="1" applyBorder="1"/>
    <xf numFmtId="0" fontId="4" fillId="3" borderId="144" xfId="0" applyFont="1" applyFill="1" applyBorder="1" applyAlignment="1">
      <alignment horizontal="center"/>
    </xf>
    <xf numFmtId="0" fontId="142" fillId="15" borderId="124" xfId="0" applyFont="1" applyFill="1" applyBorder="1"/>
    <xf numFmtId="0" fontId="190" fillId="5" borderId="24" xfId="0" applyFont="1" applyFill="1" applyBorder="1"/>
    <xf numFmtId="0" fontId="157" fillId="5" borderId="24" xfId="0" applyFont="1" applyFill="1" applyBorder="1"/>
    <xf numFmtId="0" fontId="41" fillId="3" borderId="29" xfId="0" applyFont="1" applyFill="1" applyBorder="1" applyAlignment="1">
      <alignment vertical="center" wrapText="1"/>
    </xf>
    <xf numFmtId="0" fontId="191" fillId="5" borderId="24" xfId="0" applyFont="1" applyFill="1" applyBorder="1" applyAlignment="1">
      <alignment vertical="center"/>
    </xf>
    <xf numFmtId="0" fontId="192" fillId="5" borderId="24" xfId="0" applyFont="1" applyFill="1" applyBorder="1" applyAlignment="1">
      <alignment vertical="center"/>
    </xf>
    <xf numFmtId="0" fontId="193" fillId="5" borderId="24" xfId="0" applyFont="1" applyFill="1" applyBorder="1" applyAlignment="1">
      <alignment vertical="center"/>
    </xf>
    <xf numFmtId="0" fontId="191" fillId="5" borderId="24" xfId="0" applyFont="1" applyFill="1" applyBorder="1"/>
    <xf numFmtId="0" fontId="193" fillId="5" borderId="24" xfId="0" applyFont="1" applyFill="1" applyBorder="1"/>
    <xf numFmtId="0" fontId="98" fillId="8" borderId="0" xfId="0" applyFont="1" applyFill="1" applyAlignment="1">
      <alignment horizontal="center" vertical="center"/>
    </xf>
    <xf numFmtId="0" fontId="98" fillId="8" borderId="0" xfId="0" applyFont="1" applyFill="1" applyAlignment="1">
      <alignment horizontal="left" vertical="center"/>
    </xf>
    <xf numFmtId="0" fontId="18" fillId="3" borderId="109" xfId="0" applyFont="1" applyFill="1" applyBorder="1" applyAlignment="1">
      <alignment vertical="center"/>
    </xf>
    <xf numFmtId="0" fontId="18" fillId="3" borderId="110" xfId="0" applyFont="1" applyFill="1" applyBorder="1" applyAlignment="1">
      <alignment vertical="center"/>
    </xf>
    <xf numFmtId="0" fontId="196" fillId="5" borderId="24" xfId="0" applyFont="1" applyFill="1" applyBorder="1" applyAlignment="1">
      <alignment vertical="center"/>
    </xf>
    <xf numFmtId="0" fontId="197" fillId="5" borderId="24" xfId="0" applyFont="1" applyFill="1" applyBorder="1"/>
    <xf numFmtId="0" fontId="4" fillId="3" borderId="16" xfId="0" applyFont="1" applyFill="1" applyBorder="1" applyAlignment="1">
      <alignment horizontal="center" vertical="center"/>
    </xf>
    <xf numFmtId="0" fontId="18" fillId="3" borderId="81" xfId="0" applyFont="1" applyFill="1" applyBorder="1" applyAlignment="1">
      <alignment vertical="center"/>
    </xf>
    <xf numFmtId="0" fontId="199" fillId="3" borderId="145" xfId="0" applyFont="1" applyFill="1" applyBorder="1" applyAlignment="1">
      <alignment vertical="center"/>
    </xf>
    <xf numFmtId="0" fontId="199" fillId="3" borderId="107" xfId="0" applyFont="1" applyFill="1" applyBorder="1" applyAlignment="1">
      <alignment vertical="center"/>
    </xf>
    <xf numFmtId="0" fontId="163" fillId="5" borderId="24" xfId="0" applyFont="1" applyFill="1" applyBorder="1" applyAlignment="1">
      <alignment wrapText="1"/>
    </xf>
    <xf numFmtId="0" fontId="4" fillId="5" borderId="24" xfId="0" applyFont="1" applyFill="1" applyBorder="1" applyAlignment="1">
      <alignment wrapText="1"/>
    </xf>
    <xf numFmtId="0" fontId="200" fillId="3" borderId="16" xfId="0" applyFont="1" applyFill="1" applyBorder="1" applyAlignment="1">
      <alignment horizontal="center" vertical="center"/>
    </xf>
    <xf numFmtId="0" fontId="18" fillId="3" borderId="68" xfId="0" applyFont="1" applyFill="1" applyBorder="1" applyAlignment="1">
      <alignment vertical="center"/>
    </xf>
    <xf numFmtId="0" fontId="116" fillId="5" borderId="24" xfId="0" applyFont="1" applyFill="1" applyBorder="1"/>
    <xf numFmtId="0" fontId="95" fillId="3" borderId="17" xfId="0" applyFont="1" applyFill="1" applyBorder="1" applyAlignment="1">
      <alignment vertical="center"/>
    </xf>
    <xf numFmtId="0" fontId="95" fillId="3" borderId="22" xfId="0" applyFont="1" applyFill="1" applyBorder="1" applyAlignment="1">
      <alignment vertical="center"/>
    </xf>
    <xf numFmtId="0" fontId="202" fillId="8" borderId="16" xfId="0" applyFont="1" applyFill="1" applyBorder="1" applyAlignment="1">
      <alignment vertical="center"/>
    </xf>
    <xf numFmtId="0" fontId="147" fillId="3" borderId="16" xfId="0" applyFont="1" applyFill="1" applyBorder="1" applyAlignment="1">
      <alignment vertical="center"/>
    </xf>
    <xf numFmtId="0" fontId="22" fillId="8" borderId="0" xfId="0" applyFont="1" applyFill="1" applyAlignment="1">
      <alignment vertical="center"/>
    </xf>
    <xf numFmtId="0" fontId="18" fillId="8" borderId="0" xfId="0" applyFont="1" applyFill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47" fillId="3" borderId="22" xfId="0" applyFont="1" applyFill="1" applyBorder="1" applyAlignment="1">
      <alignment vertical="center"/>
    </xf>
    <xf numFmtId="0" fontId="207" fillId="3" borderId="16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vertical="center" wrapText="1"/>
    </xf>
    <xf numFmtId="0" fontId="208" fillId="3" borderId="17" xfId="0" applyFont="1" applyFill="1" applyBorder="1" applyAlignment="1">
      <alignment vertical="center"/>
    </xf>
    <xf numFmtId="0" fontId="111" fillId="3" borderId="0" xfId="0" applyFont="1" applyFill="1" applyAlignment="1">
      <alignment horizontal="center" vertical="center"/>
    </xf>
    <xf numFmtId="0" fontId="209" fillId="3" borderId="0" xfId="0" applyFont="1" applyFill="1" applyAlignment="1">
      <alignment vertical="center"/>
    </xf>
    <xf numFmtId="0" fontId="18" fillId="0" borderId="110" xfId="0" applyFont="1" applyBorder="1" applyAlignment="1">
      <alignment vertical="center"/>
    </xf>
    <xf numFmtId="0" fontId="19" fillId="8" borderId="0" xfId="0" applyFont="1" applyFill="1" applyAlignment="1">
      <alignment horizontal="center" vertical="center"/>
    </xf>
    <xf numFmtId="0" fontId="213" fillId="5" borderId="24" xfId="0" applyFont="1" applyFill="1" applyBorder="1" applyAlignment="1">
      <alignment wrapText="1"/>
    </xf>
    <xf numFmtId="0" fontId="200" fillId="3" borderId="0" xfId="0" applyFont="1" applyFill="1" applyAlignment="1">
      <alignment horizontal="center" vertical="center"/>
    </xf>
    <xf numFmtId="0" fontId="200" fillId="3" borderId="109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10" fontId="35" fillId="5" borderId="24" xfId="0" applyNumberFormat="1" applyFont="1" applyFill="1" applyBorder="1" applyAlignment="1">
      <alignment wrapText="1"/>
    </xf>
    <xf numFmtId="0" fontId="32" fillId="5" borderId="24" xfId="0" applyFont="1" applyFill="1" applyBorder="1" applyAlignment="1">
      <alignment vertical="center"/>
    </xf>
    <xf numFmtId="0" fontId="32" fillId="5" borderId="24" xfId="0" applyFont="1" applyFill="1" applyBorder="1"/>
    <xf numFmtId="0" fontId="216" fillId="5" borderId="24" xfId="0" applyFont="1" applyFill="1" applyBorder="1" applyAlignment="1">
      <alignment vertical="center"/>
    </xf>
    <xf numFmtId="0" fontId="60" fillId="5" borderId="24" xfId="0" applyFont="1" applyFill="1" applyBorder="1" applyAlignment="1">
      <alignment vertical="center" wrapText="1"/>
    </xf>
    <xf numFmtId="0" fontId="60" fillId="3" borderId="32" xfId="0" applyFont="1" applyFill="1" applyBorder="1" applyAlignment="1">
      <alignment vertical="center"/>
    </xf>
    <xf numFmtId="0" fontId="217" fillId="3" borderId="152" xfId="0" applyFont="1" applyFill="1" applyBorder="1" applyAlignment="1">
      <alignment horizontal="left" vertical="center"/>
    </xf>
    <xf numFmtId="0" fontId="217" fillId="3" borderId="15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vertical="center"/>
    </xf>
    <xf numFmtId="0" fontId="3" fillId="0" borderId="2" xfId="0" applyFont="1" applyBorder="1"/>
    <xf numFmtId="0" fontId="3" fillId="0" borderId="3" xfId="0" applyFont="1" applyBorder="1"/>
    <xf numFmtId="0" fontId="27" fillId="7" borderId="20" xfId="0" applyFont="1" applyFill="1" applyBorder="1" applyAlignment="1">
      <alignment vertical="center"/>
    </xf>
    <xf numFmtId="0" fontId="3" fillId="0" borderId="20" xfId="0" applyFont="1" applyBorder="1"/>
    <xf numFmtId="0" fontId="3" fillId="0" borderId="21" xfId="0" applyFont="1" applyBorder="1"/>
    <xf numFmtId="0" fontId="19" fillId="3" borderId="22" xfId="0" applyFont="1" applyFill="1" applyBorder="1" applyAlignment="1">
      <alignment vertical="center"/>
    </xf>
    <xf numFmtId="0" fontId="3" fillId="0" borderId="22" xfId="0" applyFont="1" applyBorder="1"/>
    <xf numFmtId="0" fontId="3" fillId="0" borderId="16" xfId="0" applyFont="1" applyBorder="1"/>
    <xf numFmtId="0" fontId="28" fillId="3" borderId="22" xfId="0" applyFont="1" applyFill="1" applyBorder="1" applyAlignment="1">
      <alignment vertical="center"/>
    </xf>
    <xf numFmtId="0" fontId="3" fillId="3" borderId="22" xfId="0" applyFont="1" applyFill="1" applyBorder="1"/>
    <xf numFmtId="0" fontId="3" fillId="3" borderId="16" xfId="0" applyFont="1" applyFill="1" applyBorder="1"/>
    <xf numFmtId="0" fontId="3" fillId="4" borderId="22" xfId="0" applyFont="1" applyFill="1" applyBorder="1"/>
    <xf numFmtId="0" fontId="3" fillId="4" borderId="16" xfId="0" applyFont="1" applyFill="1" applyBorder="1"/>
    <xf numFmtId="0" fontId="20" fillId="3" borderId="0" xfId="0" applyFont="1" applyFill="1" applyAlignment="1">
      <alignment vertical="center"/>
    </xf>
    <xf numFmtId="0" fontId="0" fillId="0" borderId="0" xfId="0"/>
    <xf numFmtId="0" fontId="29" fillId="5" borderId="2" xfId="0" applyFont="1" applyFill="1" applyBorder="1" applyAlignment="1">
      <alignment vertical="center"/>
    </xf>
    <xf numFmtId="0" fontId="17" fillId="7" borderId="20" xfId="0" applyFont="1" applyFill="1" applyBorder="1" applyAlignment="1">
      <alignment vertical="center"/>
    </xf>
    <xf numFmtId="0" fontId="22" fillId="3" borderId="22" xfId="0" applyFont="1" applyFill="1" applyBorder="1" applyAlignment="1">
      <alignment vertical="center"/>
    </xf>
    <xf numFmtId="0" fontId="18" fillId="3" borderId="22" xfId="0" applyFont="1" applyFill="1" applyBorder="1" applyAlignment="1">
      <alignment vertical="center"/>
    </xf>
    <xf numFmtId="0" fontId="25" fillId="3" borderId="22" xfId="0" applyFont="1" applyFill="1" applyBorder="1" applyAlignment="1">
      <alignment vertical="center"/>
    </xf>
    <xf numFmtId="0" fontId="26" fillId="3" borderId="0" xfId="0" applyFont="1" applyFill="1" applyAlignment="1">
      <alignment vertical="center"/>
    </xf>
    <xf numFmtId="0" fontId="3" fillId="0" borderId="8" xfId="0" applyFont="1" applyBorder="1"/>
    <xf numFmtId="0" fontId="23" fillId="5" borderId="0" xfId="0" applyFont="1" applyFill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3" fillId="0" borderId="4" xfId="0" applyFont="1" applyBorder="1"/>
    <xf numFmtId="0" fontId="3" fillId="0" borderId="5" xfId="0" applyFont="1" applyBorder="1"/>
    <xf numFmtId="0" fontId="5" fillId="3" borderId="6" xfId="0" applyFont="1" applyFill="1" applyBorder="1" applyAlignment="1">
      <alignment vertical="center"/>
    </xf>
    <xf numFmtId="0" fontId="3" fillId="3" borderId="7" xfId="0" applyFont="1" applyFill="1" applyBorder="1"/>
    <xf numFmtId="0" fontId="5" fillId="4" borderId="4" xfId="0" applyFont="1" applyFill="1" applyBorder="1"/>
    <xf numFmtId="0" fontId="3" fillId="4" borderId="5" xfId="0" applyFont="1" applyFill="1" applyBorder="1"/>
    <xf numFmtId="0" fontId="5" fillId="4" borderId="6" xfId="0" applyFont="1" applyFill="1" applyBorder="1" applyAlignment="1">
      <alignment vertical="center"/>
    </xf>
    <xf numFmtId="0" fontId="3" fillId="4" borderId="7" xfId="0" applyFont="1" applyFill="1" applyBorder="1"/>
    <xf numFmtId="0" fontId="4" fillId="0" borderId="0" xfId="0" applyFont="1" applyAlignment="1">
      <alignment vertical="center"/>
    </xf>
    <xf numFmtId="0" fontId="10" fillId="2" borderId="9" xfId="0" applyFont="1" applyFill="1" applyBorder="1" applyAlignment="1">
      <alignment horizontal="left" vertical="center"/>
    </xf>
    <xf numFmtId="0" fontId="3" fillId="0" borderId="10" xfId="0" applyFont="1" applyBorder="1"/>
    <xf numFmtId="0" fontId="3" fillId="0" borderId="11" xfId="0" applyFont="1" applyBorder="1"/>
    <xf numFmtId="9" fontId="11" fillId="2" borderId="12" xfId="0" applyNumberFormat="1" applyFont="1" applyFill="1" applyBorder="1" applyAlignment="1">
      <alignment horizontal="left" vertical="center"/>
    </xf>
    <xf numFmtId="0" fontId="3" fillId="0" borderId="13" xfId="0" applyFont="1" applyBorder="1"/>
    <xf numFmtId="0" fontId="3" fillId="0" borderId="14" xfId="0" applyFont="1" applyBorder="1"/>
    <xf numFmtId="9" fontId="12" fillId="2" borderId="9" xfId="0" applyNumberFormat="1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/>
    </xf>
    <xf numFmtId="0" fontId="14" fillId="6" borderId="15" xfId="0" applyFont="1" applyFill="1" applyBorder="1" applyAlignment="1">
      <alignment vertical="center"/>
    </xf>
    <xf numFmtId="0" fontId="8" fillId="3" borderId="17" xfId="0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0" fontId="16" fillId="7" borderId="2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21" fillId="5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16" fillId="7" borderId="0" xfId="0" applyFont="1" applyFill="1" applyAlignment="1">
      <alignment vertical="center"/>
    </xf>
    <xf numFmtId="0" fontId="22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25" fillId="8" borderId="6" xfId="0" applyFont="1" applyFill="1" applyBorder="1" applyAlignment="1">
      <alignment horizontal="left" vertical="center" wrapText="1"/>
    </xf>
    <xf numFmtId="0" fontId="3" fillId="0" borderId="6" xfId="0" applyFont="1" applyBorder="1"/>
    <xf numFmtId="0" fontId="25" fillId="8" borderId="48" xfId="0" applyFont="1" applyFill="1" applyBorder="1" applyAlignment="1">
      <alignment horizontal="center" vertical="center"/>
    </xf>
    <xf numFmtId="0" fontId="3" fillId="0" borderId="7" xfId="0" applyFont="1" applyBorder="1"/>
    <xf numFmtId="0" fontId="25" fillId="3" borderId="0" xfId="0" applyFont="1" applyFill="1" applyAlignment="1">
      <alignment horizontal="left" vertical="center"/>
    </xf>
    <xf numFmtId="0" fontId="49" fillId="3" borderId="49" xfId="0" applyFont="1" applyFill="1" applyBorder="1" applyAlignment="1">
      <alignment horizontal="center" vertical="center"/>
    </xf>
    <xf numFmtId="0" fontId="3" fillId="0" borderId="49" xfId="0" applyFont="1" applyBorder="1"/>
    <xf numFmtId="0" fontId="3" fillId="0" borderId="50" xfId="0" applyFont="1" applyBorder="1"/>
    <xf numFmtId="0" fontId="47" fillId="9" borderId="29" xfId="0" applyFont="1" applyFill="1" applyBorder="1" applyAlignment="1">
      <alignment horizontal="center" vertical="center"/>
    </xf>
    <xf numFmtId="0" fontId="3" fillId="0" borderId="29" xfId="0" applyFont="1" applyBorder="1"/>
    <xf numFmtId="0" fontId="3" fillId="0" borderId="45" xfId="0" applyFont="1" applyBorder="1"/>
    <xf numFmtId="0" fontId="25" fillId="8" borderId="51" xfId="0" applyFont="1" applyFill="1" applyBorder="1" applyAlignment="1">
      <alignment horizontal="left" vertical="center" wrapText="1"/>
    </xf>
    <xf numFmtId="0" fontId="3" fillId="0" borderId="51" xfId="0" applyFont="1" applyBorder="1"/>
    <xf numFmtId="0" fontId="3" fillId="0" borderId="52" xfId="0" applyFont="1" applyBorder="1"/>
    <xf numFmtId="0" fontId="18" fillId="8" borderId="53" xfId="0" applyFont="1" applyFill="1" applyBorder="1" applyAlignment="1">
      <alignment horizontal="center" vertical="center"/>
    </xf>
    <xf numFmtId="0" fontId="22" fillId="8" borderId="6" xfId="0" applyFont="1" applyFill="1" applyBorder="1" applyAlignment="1">
      <alignment vertical="center"/>
    </xf>
    <xf numFmtId="0" fontId="46" fillId="10" borderId="0" xfId="0" applyFont="1" applyFill="1" applyAlignment="1">
      <alignment vertical="center"/>
    </xf>
    <xf numFmtId="0" fontId="45" fillId="3" borderId="40" xfId="0" applyFont="1" applyFill="1" applyBorder="1" applyAlignment="1">
      <alignment horizontal="center" vertical="center"/>
    </xf>
    <xf numFmtId="0" fontId="3" fillId="0" borderId="40" xfId="0" applyFont="1" applyBorder="1"/>
    <xf numFmtId="0" fontId="3" fillId="0" borderId="41" xfId="0" applyFont="1" applyBorder="1"/>
    <xf numFmtId="0" fontId="50" fillId="3" borderId="54" xfId="0" applyFont="1" applyFill="1" applyBorder="1" applyAlignment="1">
      <alignment vertical="center"/>
    </xf>
    <xf numFmtId="0" fontId="3" fillId="0" borderId="33" xfId="0" applyFont="1" applyBorder="1"/>
    <xf numFmtId="0" fontId="3" fillId="0" borderId="36" xfId="0" applyFont="1" applyBorder="1"/>
    <xf numFmtId="0" fontId="18" fillId="3" borderId="54" xfId="0" applyFont="1" applyFill="1" applyBorder="1" applyAlignment="1">
      <alignment vertical="center"/>
    </xf>
    <xf numFmtId="0" fontId="54" fillId="3" borderId="54" xfId="0" applyFont="1" applyFill="1" applyBorder="1" applyAlignment="1">
      <alignment vertical="center"/>
    </xf>
    <xf numFmtId="0" fontId="45" fillId="3" borderId="22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left" vertical="center" wrapText="1"/>
    </xf>
    <xf numFmtId="0" fontId="18" fillId="8" borderId="48" xfId="0" applyFont="1" applyFill="1" applyBorder="1" applyAlignment="1">
      <alignment horizontal="center" vertical="center"/>
    </xf>
    <xf numFmtId="0" fontId="45" fillId="3" borderId="49" xfId="0" applyFont="1" applyFill="1" applyBorder="1" applyAlignment="1">
      <alignment horizontal="center" vertical="center"/>
    </xf>
    <xf numFmtId="0" fontId="51" fillId="11" borderId="29" xfId="0" applyFont="1" applyFill="1" applyBorder="1" applyAlignment="1">
      <alignment horizontal="center" vertical="center"/>
    </xf>
    <xf numFmtId="0" fontId="25" fillId="8" borderId="22" xfId="0" applyFont="1" applyFill="1" applyBorder="1" applyAlignment="1">
      <alignment horizontal="left" vertical="center"/>
    </xf>
    <xf numFmtId="0" fontId="49" fillId="3" borderId="22" xfId="0" applyFont="1" applyFill="1" applyBorder="1" applyAlignment="1">
      <alignment horizontal="center" vertical="center"/>
    </xf>
    <xf numFmtId="0" fontId="50" fillId="3" borderId="17" xfId="0" applyFont="1" applyFill="1" applyBorder="1" applyAlignment="1">
      <alignment vertical="center"/>
    </xf>
    <xf numFmtId="0" fontId="25" fillId="3" borderId="17" xfId="0" applyFont="1" applyFill="1" applyBorder="1" applyAlignment="1">
      <alignment vertical="center"/>
    </xf>
    <xf numFmtId="0" fontId="25" fillId="3" borderId="55" xfId="0" applyFont="1" applyFill="1" applyBorder="1" applyAlignment="1">
      <alignment vertical="center"/>
    </xf>
    <xf numFmtId="0" fontId="56" fillId="3" borderId="17" xfId="0" applyFont="1" applyFill="1" applyBorder="1" applyAlignment="1">
      <alignment vertical="center"/>
    </xf>
    <xf numFmtId="0" fontId="18" fillId="0" borderId="49" xfId="0" applyFont="1" applyBorder="1" applyAlignment="1">
      <alignment horizontal="left" vertical="center"/>
    </xf>
    <xf numFmtId="0" fontId="48" fillId="11" borderId="56" xfId="0" applyFont="1" applyFill="1" applyBorder="1" applyAlignment="1">
      <alignment horizontal="center" vertical="center"/>
    </xf>
    <xf numFmtId="0" fontId="3" fillId="0" borderId="56" xfId="0" applyFont="1" applyBorder="1"/>
    <xf numFmtId="0" fontId="3" fillId="0" borderId="57" xfId="0" applyFont="1" applyBorder="1"/>
    <xf numFmtId="0" fontId="25" fillId="8" borderId="0" xfId="0" applyFont="1" applyFill="1" applyAlignment="1">
      <alignment horizontal="left" vertical="center"/>
    </xf>
    <xf numFmtId="0" fontId="57" fillId="8" borderId="0" xfId="0" applyFont="1" applyFill="1" applyAlignment="1">
      <alignment horizontal="left" vertical="center"/>
    </xf>
    <xf numFmtId="0" fontId="58" fillId="3" borderId="59" xfId="0" applyFont="1" applyFill="1" applyBorder="1" applyAlignment="1">
      <alignment vertical="center"/>
    </xf>
    <xf numFmtId="0" fontId="3" fillId="0" borderId="43" xfId="0" applyFont="1" applyBorder="1"/>
    <xf numFmtId="0" fontId="3" fillId="0" borderId="44" xfId="0" applyFont="1" applyBorder="1"/>
    <xf numFmtId="0" fontId="59" fillId="3" borderId="60" xfId="0" applyFont="1" applyFill="1" applyBorder="1" applyAlignment="1">
      <alignment vertical="center"/>
    </xf>
    <xf numFmtId="0" fontId="60" fillId="3" borderId="60" xfId="0" applyFont="1" applyFill="1" applyBorder="1" applyAlignment="1">
      <alignment vertical="center"/>
    </xf>
    <xf numFmtId="0" fontId="51" fillId="8" borderId="49" xfId="0" applyFont="1" applyFill="1" applyBorder="1" applyAlignment="1">
      <alignment horizontal="center" vertical="center"/>
    </xf>
    <xf numFmtId="0" fontId="3" fillId="0" borderId="67" xfId="0" applyFont="1" applyBorder="1"/>
    <xf numFmtId="0" fontId="51" fillId="8" borderId="0" xfId="0" applyFont="1" applyFill="1" applyAlignment="1">
      <alignment horizontal="center" vertical="center" wrapText="1"/>
    </xf>
    <xf numFmtId="0" fontId="49" fillId="8" borderId="69" xfId="0" applyFont="1" applyFill="1" applyBorder="1" applyAlignment="1">
      <alignment horizontal="center" vertical="center"/>
    </xf>
    <xf numFmtId="0" fontId="50" fillId="3" borderId="49" xfId="0" applyFont="1" applyFill="1" applyBorder="1" applyAlignment="1">
      <alignment vertical="center" wrapText="1"/>
    </xf>
    <xf numFmtId="0" fontId="3" fillId="0" borderId="42" xfId="0" applyFont="1" applyBorder="1"/>
    <xf numFmtId="0" fontId="4" fillId="3" borderId="0" xfId="0" applyFont="1" applyFill="1" applyAlignment="1">
      <alignment vertical="center"/>
    </xf>
    <xf numFmtId="0" fontId="4" fillId="5" borderId="23" xfId="0" applyFont="1" applyFill="1" applyBorder="1" applyAlignment="1">
      <alignment vertical="center"/>
    </xf>
    <xf numFmtId="0" fontId="47" fillId="9" borderId="22" xfId="0" applyFont="1" applyFill="1" applyBorder="1" applyAlignment="1">
      <alignment horizontal="center" vertical="center"/>
    </xf>
    <xf numFmtId="0" fontId="25" fillId="8" borderId="22" xfId="0" applyFont="1" applyFill="1" applyBorder="1" applyAlignment="1">
      <alignment horizontal="left" vertical="center" wrapText="1"/>
    </xf>
    <xf numFmtId="0" fontId="61" fillId="8" borderId="49" xfId="0" applyFont="1" applyFill="1" applyBorder="1" applyAlignment="1">
      <alignment vertical="center"/>
    </xf>
    <xf numFmtId="0" fontId="18" fillId="3" borderId="64" xfId="0" applyFont="1" applyFill="1" applyBorder="1" applyAlignment="1">
      <alignment vertical="center"/>
    </xf>
    <xf numFmtId="0" fontId="18" fillId="3" borderId="65" xfId="0" applyFont="1" applyFill="1" applyBorder="1" applyAlignment="1">
      <alignment vertical="center" wrapText="1"/>
    </xf>
    <xf numFmtId="0" fontId="30" fillId="5" borderId="23" xfId="0" applyFont="1" applyFill="1" applyBorder="1" applyAlignment="1">
      <alignment horizontal="center" vertical="center" wrapText="1"/>
    </xf>
    <xf numFmtId="0" fontId="31" fillId="5" borderId="23" xfId="0" applyFont="1" applyFill="1" applyBorder="1" applyAlignment="1">
      <alignment horizontal="center" vertical="top" wrapText="1"/>
    </xf>
    <xf numFmtId="9" fontId="33" fillId="5" borderId="25" xfId="0" applyNumberFormat="1" applyFont="1" applyFill="1" applyBorder="1" applyAlignment="1">
      <alignment vertical="center" wrapText="1"/>
    </xf>
    <xf numFmtId="0" fontId="3" fillId="0" borderId="26" xfId="0" applyFont="1" applyBorder="1"/>
    <xf numFmtId="0" fontId="3" fillId="0" borderId="27" xfId="0" applyFont="1" applyBorder="1"/>
    <xf numFmtId="10" fontId="35" fillId="5" borderId="23" xfId="0" applyNumberFormat="1" applyFont="1" applyFill="1" applyBorder="1" applyAlignment="1">
      <alignment vertical="center" wrapText="1"/>
    </xf>
    <xf numFmtId="0" fontId="38" fillId="7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41" fillId="3" borderId="0" xfId="0" applyFont="1" applyFill="1" applyAlignment="1">
      <alignment horizontal="center" vertical="center"/>
    </xf>
    <xf numFmtId="0" fontId="41" fillId="8" borderId="29" xfId="0" applyFont="1" applyFill="1" applyBorder="1" applyAlignment="1">
      <alignment horizontal="center" vertical="center"/>
    </xf>
    <xf numFmtId="0" fontId="42" fillId="3" borderId="29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3" fillId="0" borderId="30" xfId="0" applyFont="1" applyBorder="1"/>
    <xf numFmtId="0" fontId="18" fillId="8" borderId="4" xfId="0" applyFont="1" applyFill="1" applyBorder="1" applyAlignment="1">
      <alignment vertical="center" wrapText="1"/>
    </xf>
    <xf numFmtId="0" fontId="14" fillId="9" borderId="31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0" borderId="32" xfId="0" applyFont="1" applyBorder="1"/>
    <xf numFmtId="0" fontId="42" fillId="8" borderId="34" xfId="0" applyFont="1" applyFill="1" applyBorder="1" applyAlignment="1">
      <alignment horizontal="center" vertical="center"/>
    </xf>
    <xf numFmtId="0" fontId="3" fillId="0" borderId="35" xfId="0" applyFont="1" applyBorder="1"/>
    <xf numFmtId="0" fontId="45" fillId="3" borderId="0" xfId="0" applyFont="1" applyFill="1" applyAlignment="1">
      <alignment horizontal="center" vertical="center"/>
    </xf>
    <xf numFmtId="0" fontId="18" fillId="3" borderId="33" xfId="0" applyFont="1" applyFill="1" applyBorder="1" applyAlignment="1">
      <alignment vertical="center"/>
    </xf>
    <xf numFmtId="0" fontId="3" fillId="0" borderId="37" xfId="0" applyFont="1" applyBorder="1"/>
    <xf numFmtId="0" fontId="47" fillId="9" borderId="4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vertical="center"/>
    </xf>
    <xf numFmtId="0" fontId="48" fillId="11" borderId="4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vertical="center" wrapText="1"/>
    </xf>
    <xf numFmtId="0" fontId="50" fillId="3" borderId="33" xfId="0" applyFont="1" applyFill="1" applyBorder="1" applyAlignment="1">
      <alignment vertical="center" wrapText="1"/>
    </xf>
    <xf numFmtId="0" fontId="51" fillId="11" borderId="4" xfId="0" applyFont="1" applyFill="1" applyBorder="1" applyAlignment="1">
      <alignment horizontal="center" vertical="center"/>
    </xf>
    <xf numFmtId="0" fontId="18" fillId="3" borderId="43" xfId="0" applyFont="1" applyFill="1" applyBorder="1" applyAlignment="1">
      <alignment vertical="center"/>
    </xf>
    <xf numFmtId="0" fontId="45" fillId="3" borderId="29" xfId="0" applyFont="1" applyFill="1" applyBorder="1" applyAlignment="1">
      <alignment horizontal="center" vertical="center"/>
    </xf>
    <xf numFmtId="0" fontId="50" fillId="3" borderId="43" xfId="0" applyFont="1" applyFill="1" applyBorder="1" applyAlignment="1">
      <alignment vertical="center"/>
    </xf>
    <xf numFmtId="0" fontId="48" fillId="11" borderId="29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vertical="center"/>
    </xf>
    <xf numFmtId="0" fontId="68" fillId="5" borderId="28" xfId="0" applyFont="1" applyFill="1" applyBorder="1" applyAlignment="1">
      <alignment horizontal="center" vertical="center" wrapText="1"/>
    </xf>
    <xf numFmtId="0" fontId="3" fillId="3" borderId="20" xfId="0" applyFont="1" applyFill="1" applyBorder="1"/>
    <xf numFmtId="0" fontId="3" fillId="3" borderId="21" xfId="0" applyFont="1" applyFill="1" applyBorder="1"/>
    <xf numFmtId="0" fontId="14" fillId="6" borderId="19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 wrapText="1"/>
    </xf>
    <xf numFmtId="0" fontId="6" fillId="0" borderId="31" xfId="0" applyFont="1" applyBorder="1" applyAlignment="1">
      <alignment horizontal="left" vertical="center" wrapText="1"/>
    </xf>
    <xf numFmtId="0" fontId="6" fillId="3" borderId="73" xfId="0" applyFont="1" applyFill="1" applyBorder="1" applyAlignment="1">
      <alignment horizontal="center" vertical="center"/>
    </xf>
    <xf numFmtId="0" fontId="75" fillId="3" borderId="55" xfId="0" applyFont="1" applyFill="1" applyBorder="1" applyAlignment="1">
      <alignment horizontal="center" vertical="center"/>
    </xf>
    <xf numFmtId="0" fontId="6" fillId="12" borderId="31" xfId="0" applyFont="1" applyFill="1" applyBorder="1" applyAlignment="1">
      <alignment horizontal="left" vertical="center" wrapText="1"/>
    </xf>
    <xf numFmtId="0" fontId="69" fillId="0" borderId="31" xfId="0" applyFont="1" applyBorder="1" applyAlignment="1">
      <alignment horizontal="left" vertical="center"/>
    </xf>
    <xf numFmtId="0" fontId="4" fillId="5" borderId="0" xfId="0" applyFont="1" applyFill="1" applyAlignment="1">
      <alignment vertical="center"/>
    </xf>
    <xf numFmtId="0" fontId="70" fillId="8" borderId="56" xfId="0" applyFont="1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0" fontId="74" fillId="8" borderId="56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vertical="center"/>
    </xf>
    <xf numFmtId="0" fontId="14" fillId="5" borderId="0" xfId="0" applyFont="1" applyFill="1" applyAlignment="1">
      <alignment vertical="center"/>
    </xf>
    <xf numFmtId="0" fontId="41" fillId="8" borderId="69" xfId="0" applyFont="1" applyFill="1" applyBorder="1" applyAlignment="1">
      <alignment horizontal="center" vertical="center"/>
    </xf>
    <xf numFmtId="0" fontId="3" fillId="0" borderId="75" xfId="0" applyFont="1" applyBorder="1"/>
    <xf numFmtId="0" fontId="3" fillId="0" borderId="79" xfId="0" applyFont="1" applyBorder="1"/>
    <xf numFmtId="0" fontId="77" fillId="3" borderId="76" xfId="0" applyFont="1" applyFill="1" applyBorder="1" applyAlignment="1">
      <alignment horizontal="center" vertical="center"/>
    </xf>
    <xf numFmtId="0" fontId="3" fillId="0" borderId="80" xfId="0" applyFont="1" applyBorder="1"/>
    <xf numFmtId="0" fontId="3" fillId="0" borderId="81" xfId="0" applyFont="1" applyBorder="1"/>
    <xf numFmtId="0" fontId="14" fillId="3" borderId="0" xfId="0" applyFont="1" applyFill="1" applyAlignment="1">
      <alignment vertical="center"/>
    </xf>
    <xf numFmtId="0" fontId="41" fillId="8" borderId="22" xfId="0" applyFont="1" applyFill="1" applyBorder="1" applyAlignment="1">
      <alignment horizontal="center" vertical="center"/>
    </xf>
    <xf numFmtId="0" fontId="3" fillId="0" borderId="82" xfId="0" applyFont="1" applyBorder="1"/>
    <xf numFmtId="0" fontId="14" fillId="7" borderId="0" xfId="0" applyFont="1" applyFill="1" applyAlignment="1">
      <alignment vertical="center"/>
    </xf>
    <xf numFmtId="0" fontId="18" fillId="8" borderId="4" xfId="0" applyFont="1" applyFill="1" applyBorder="1" applyAlignment="1">
      <alignment vertical="center"/>
    </xf>
    <xf numFmtId="0" fontId="18" fillId="8" borderId="4" xfId="0" applyFont="1" applyFill="1" applyBorder="1" applyAlignment="1">
      <alignment horizontal="center" vertical="center"/>
    </xf>
    <xf numFmtId="0" fontId="51" fillId="13" borderId="29" xfId="0" applyFont="1" applyFill="1" applyBorder="1" applyAlignment="1">
      <alignment horizontal="center" vertical="center"/>
    </xf>
    <xf numFmtId="0" fontId="80" fillId="8" borderId="83" xfId="0" applyFont="1" applyFill="1" applyBorder="1" applyAlignment="1">
      <alignment vertical="center" wrapText="1"/>
    </xf>
    <xf numFmtId="0" fontId="81" fillId="8" borderId="83" xfId="0" applyFont="1" applyFill="1" applyBorder="1" applyAlignment="1">
      <alignment vertical="center" wrapText="1"/>
    </xf>
    <xf numFmtId="0" fontId="18" fillId="3" borderId="49" xfId="0" applyFont="1" applyFill="1" applyBorder="1" applyAlignment="1">
      <alignment vertical="center" wrapText="1"/>
    </xf>
    <xf numFmtId="0" fontId="18" fillId="3" borderId="22" xfId="0" applyFont="1" applyFill="1" applyBorder="1" applyAlignment="1">
      <alignment vertical="center" wrapText="1"/>
    </xf>
    <xf numFmtId="0" fontId="82" fillId="8" borderId="83" xfId="0" applyFont="1" applyFill="1" applyBorder="1" applyAlignment="1">
      <alignment vertical="center" wrapText="1"/>
    </xf>
    <xf numFmtId="0" fontId="83" fillId="8" borderId="83" xfId="0" applyFont="1" applyFill="1" applyBorder="1" applyAlignment="1">
      <alignment vertical="center" wrapText="1"/>
    </xf>
    <xf numFmtId="0" fontId="25" fillId="3" borderId="49" xfId="0" applyFont="1" applyFill="1" applyBorder="1" applyAlignment="1">
      <alignment vertical="center" wrapText="1"/>
    </xf>
    <xf numFmtId="0" fontId="83" fillId="3" borderId="22" xfId="0" applyFont="1" applyFill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48" fillId="13" borderId="4" xfId="0" applyFont="1" applyFill="1" applyBorder="1" applyAlignment="1">
      <alignment horizontal="center" vertical="center"/>
    </xf>
    <xf numFmtId="0" fontId="18" fillId="8" borderId="88" xfId="0" applyFont="1" applyFill="1" applyBorder="1" applyAlignment="1">
      <alignment vertical="center"/>
    </xf>
    <xf numFmtId="0" fontId="18" fillId="3" borderId="55" xfId="0" applyFont="1" applyFill="1" applyBorder="1" applyAlignment="1">
      <alignment vertical="center"/>
    </xf>
    <xf numFmtId="0" fontId="48" fillId="13" borderId="6" xfId="0" applyFont="1" applyFill="1" applyBorder="1" applyAlignment="1">
      <alignment horizontal="center" vertical="center"/>
    </xf>
    <xf numFmtId="0" fontId="18" fillId="8" borderId="83" xfId="0" applyFont="1" applyFill="1" applyBorder="1" applyAlignment="1">
      <alignment vertical="center"/>
    </xf>
    <xf numFmtId="0" fontId="18" fillId="3" borderId="55" xfId="0" applyFont="1" applyFill="1" applyBorder="1" applyAlignment="1">
      <alignment vertical="center" wrapText="1"/>
    </xf>
    <xf numFmtId="0" fontId="18" fillId="3" borderId="6" xfId="0" applyFont="1" applyFill="1" applyBorder="1" applyAlignment="1">
      <alignment vertical="center"/>
    </xf>
    <xf numFmtId="0" fontId="18" fillId="8" borderId="88" xfId="0" applyFont="1" applyFill="1" applyBorder="1" applyAlignment="1">
      <alignment vertical="center" wrapText="1"/>
    </xf>
    <xf numFmtId="0" fontId="18" fillId="3" borderId="89" xfId="0" applyFont="1" applyFill="1" applyBorder="1" applyAlignment="1">
      <alignment vertical="center"/>
    </xf>
    <xf numFmtId="0" fontId="69" fillId="0" borderId="0" xfId="0" applyFont="1" applyAlignment="1">
      <alignment vertical="center"/>
    </xf>
    <xf numFmtId="0" fontId="69" fillId="5" borderId="0" xfId="0" applyFont="1" applyFill="1" applyAlignment="1">
      <alignment vertical="center"/>
    </xf>
    <xf numFmtId="0" fontId="16" fillId="7" borderId="86" xfId="0" applyFont="1" applyFill="1" applyBorder="1" applyAlignment="1">
      <alignment vertical="center"/>
    </xf>
    <xf numFmtId="0" fontId="3" fillId="0" borderId="86" xfId="0" applyFont="1" applyBorder="1"/>
    <xf numFmtId="0" fontId="3" fillId="0" borderId="87" xfId="0" applyFont="1" applyBorder="1"/>
    <xf numFmtId="0" fontId="97" fillId="8" borderId="94" xfId="0" applyFont="1" applyFill="1" applyBorder="1" applyAlignment="1">
      <alignment vertical="center"/>
    </xf>
    <xf numFmtId="0" fontId="3" fillId="0" borderId="93" xfId="0" applyFont="1" applyBorder="1"/>
    <xf numFmtId="0" fontId="51" fillId="3" borderId="0" xfId="0" applyFont="1" applyFill="1" applyAlignment="1">
      <alignment horizontal="center" vertical="center"/>
    </xf>
    <xf numFmtId="0" fontId="51" fillId="13" borderId="95" xfId="0" applyFont="1" applyFill="1" applyBorder="1" applyAlignment="1">
      <alignment horizontal="center" vertical="center"/>
    </xf>
    <xf numFmtId="0" fontId="3" fillId="0" borderId="95" xfId="0" applyFont="1" applyBorder="1"/>
    <xf numFmtId="0" fontId="3" fillId="0" borderId="96" xfId="0" applyFont="1" applyBorder="1"/>
    <xf numFmtId="0" fontId="51" fillId="8" borderId="6" xfId="0" applyFont="1" applyFill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0" fontId="51" fillId="8" borderId="4" xfId="0" applyFont="1" applyFill="1" applyBorder="1" applyAlignment="1">
      <alignment horizontal="center" vertical="center"/>
    </xf>
    <xf numFmtId="0" fontId="18" fillId="3" borderId="54" xfId="0" applyFont="1" applyFill="1" applyBorder="1" applyAlignment="1">
      <alignment vertical="center" wrapText="1"/>
    </xf>
    <xf numFmtId="0" fontId="100" fillId="3" borderId="0" xfId="0" applyFont="1" applyFill="1" applyAlignment="1">
      <alignment vertical="center"/>
    </xf>
    <xf numFmtId="0" fontId="51" fillId="8" borderId="69" xfId="0" applyFont="1" applyFill="1" applyBorder="1" applyAlignment="1">
      <alignment horizontal="center" vertical="center"/>
    </xf>
    <xf numFmtId="0" fontId="3" fillId="0" borderId="69" xfId="0" applyFont="1" applyBorder="1"/>
    <xf numFmtId="0" fontId="3" fillId="0" borderId="99" xfId="0" applyFont="1" applyBorder="1"/>
    <xf numFmtId="0" fontId="101" fillId="3" borderId="0" xfId="0" applyFont="1" applyFill="1" applyAlignment="1">
      <alignment horizontal="center" vertical="center"/>
    </xf>
    <xf numFmtId="0" fontId="98" fillId="3" borderId="0" xfId="0" applyFont="1" applyFill="1" applyAlignment="1">
      <alignment vertical="center"/>
    </xf>
    <xf numFmtId="0" fontId="51" fillId="13" borderId="97" xfId="0" applyFont="1" applyFill="1" applyBorder="1" applyAlignment="1">
      <alignment horizontal="center" vertical="center"/>
    </xf>
    <xf numFmtId="0" fontId="3" fillId="0" borderId="97" xfId="0" applyFont="1" applyBorder="1"/>
    <xf numFmtId="0" fontId="3" fillId="0" borderId="98" xfId="0" applyFont="1" applyBorder="1"/>
    <xf numFmtId="0" fontId="99" fillId="8" borderId="0" xfId="0" applyFont="1" applyFill="1" applyAlignment="1">
      <alignment horizontal="center" vertical="center"/>
    </xf>
    <xf numFmtId="0" fontId="22" fillId="8" borderId="56" xfId="0" applyFont="1" applyFill="1" applyBorder="1" applyAlignment="1">
      <alignment horizontal="left" vertical="center" wrapText="1"/>
    </xf>
    <xf numFmtId="0" fontId="84" fillId="8" borderId="83" xfId="0" applyFont="1" applyFill="1" applyBorder="1" applyAlignment="1">
      <alignment horizontal="left" vertical="center"/>
    </xf>
    <xf numFmtId="0" fontId="85" fillId="3" borderId="6" xfId="0" applyFont="1" applyFill="1" applyBorder="1" applyAlignment="1">
      <alignment horizontal="center" vertical="center"/>
    </xf>
    <xf numFmtId="0" fontId="48" fillId="13" borderId="0" xfId="0" applyFont="1" applyFill="1" applyAlignment="1">
      <alignment horizontal="center" vertical="center"/>
    </xf>
    <xf numFmtId="0" fontId="3" fillId="0" borderId="84" xfId="0" applyFont="1" applyBorder="1"/>
    <xf numFmtId="0" fontId="69" fillId="0" borderId="49" xfId="0" applyFont="1" applyBorder="1" applyAlignment="1">
      <alignment vertical="center"/>
    </xf>
    <xf numFmtId="0" fontId="86" fillId="3" borderId="0" xfId="0" applyFont="1" applyFill="1" applyAlignment="1">
      <alignment horizontal="center" vertical="center"/>
    </xf>
    <xf numFmtId="0" fontId="86" fillId="8" borderId="0" xfId="0" applyFont="1" applyFill="1" applyAlignment="1">
      <alignment horizontal="center" vertical="center"/>
    </xf>
    <xf numFmtId="0" fontId="86" fillId="8" borderId="85" xfId="0" applyFont="1" applyFill="1" applyBorder="1" applyAlignment="1">
      <alignment horizontal="center" vertical="center" wrapText="1"/>
    </xf>
    <xf numFmtId="0" fontId="85" fillId="8" borderId="69" xfId="0" applyFont="1" applyFill="1" applyBorder="1" applyAlignment="1">
      <alignment horizontal="center" vertical="center"/>
    </xf>
    <xf numFmtId="0" fontId="91" fillId="3" borderId="0" xfId="0" applyFont="1" applyFill="1" applyAlignment="1">
      <alignment horizontal="left" vertical="center"/>
    </xf>
    <xf numFmtId="0" fontId="91" fillId="5" borderId="0" xfId="0" applyFont="1" applyFill="1" applyAlignment="1">
      <alignment horizontal="left" vertical="center"/>
    </xf>
    <xf numFmtId="0" fontId="18" fillId="8" borderId="56" xfId="0" applyFont="1" applyFill="1" applyBorder="1" applyAlignment="1">
      <alignment vertical="center" wrapText="1"/>
    </xf>
    <xf numFmtId="0" fontId="94" fillId="10" borderId="83" xfId="0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10" borderId="83" xfId="0" applyFont="1" applyFill="1" applyBorder="1" applyAlignment="1">
      <alignment horizontal="center" vertical="center"/>
    </xf>
    <xf numFmtId="0" fontId="18" fillId="3" borderId="55" xfId="0" applyFont="1" applyFill="1" applyBorder="1" applyAlignment="1">
      <alignment horizontal="left" vertical="center"/>
    </xf>
    <xf numFmtId="0" fontId="18" fillId="3" borderId="17" xfId="0" applyFont="1" applyFill="1" applyBorder="1" applyAlignment="1">
      <alignment horizontal="left" vertical="center"/>
    </xf>
    <xf numFmtId="0" fontId="18" fillId="3" borderId="91" xfId="0" applyFont="1" applyFill="1" applyBorder="1" applyAlignment="1">
      <alignment vertical="center"/>
    </xf>
    <xf numFmtId="0" fontId="3" fillId="0" borderId="92" xfId="0" applyFont="1" applyBorder="1"/>
    <xf numFmtId="0" fontId="3" fillId="0" borderId="90" xfId="0" applyFont="1" applyBorder="1"/>
    <xf numFmtId="0" fontId="18" fillId="3" borderId="17" xfId="0" applyFont="1" applyFill="1" applyBorder="1" applyAlignment="1">
      <alignment vertical="center" wrapText="1"/>
    </xf>
    <xf numFmtId="0" fontId="18" fillId="8" borderId="6" xfId="0" applyFont="1" applyFill="1" applyBorder="1" applyAlignment="1">
      <alignment vertical="center"/>
    </xf>
    <xf numFmtId="0" fontId="127" fillId="8" borderId="0" xfId="0" applyFont="1" applyFill="1" applyAlignment="1">
      <alignment vertical="center"/>
    </xf>
    <xf numFmtId="0" fontId="4" fillId="3" borderId="112" xfId="0" applyFont="1" applyFill="1" applyBorder="1" applyAlignment="1">
      <alignment vertical="center"/>
    </xf>
    <xf numFmtId="0" fontId="3" fillId="0" borderId="112" xfId="0" applyFont="1" applyBorder="1"/>
    <xf numFmtId="0" fontId="3" fillId="0" borderId="76" xfId="0" applyFont="1" applyBorder="1"/>
    <xf numFmtId="0" fontId="129" fillId="8" borderId="22" xfId="0" applyFont="1" applyFill="1" applyBorder="1" applyAlignment="1">
      <alignment horizontal="center" vertical="center" wrapText="1"/>
    </xf>
    <xf numFmtId="0" fontId="18" fillId="8" borderId="115" xfId="0" applyFont="1" applyFill="1" applyBorder="1" applyAlignment="1">
      <alignment vertical="center"/>
    </xf>
    <xf numFmtId="0" fontId="3" fillId="0" borderId="115" xfId="0" applyFont="1" applyBorder="1"/>
    <xf numFmtId="0" fontId="3" fillId="0" borderId="71" xfId="0" applyFont="1" applyBorder="1"/>
    <xf numFmtId="0" fontId="18" fillId="3" borderId="45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vertical="center" wrapText="1"/>
    </xf>
    <xf numFmtId="0" fontId="16" fillId="3" borderId="0" xfId="0" applyFont="1" applyFill="1" applyAlignment="1">
      <alignment vertical="center"/>
    </xf>
    <xf numFmtId="0" fontId="16" fillId="5" borderId="74" xfId="0" applyFont="1" applyFill="1" applyBorder="1" applyAlignment="1">
      <alignment vertical="center"/>
    </xf>
    <xf numFmtId="0" fontId="16" fillId="7" borderId="103" xfId="0" applyFont="1" applyFill="1" applyBorder="1" applyAlignment="1">
      <alignment vertical="center"/>
    </xf>
    <xf numFmtId="0" fontId="3" fillId="0" borderId="103" xfId="0" applyFont="1" applyBorder="1"/>
    <xf numFmtId="0" fontId="3" fillId="0" borderId="101" xfId="0" applyFont="1" applyBorder="1"/>
    <xf numFmtId="0" fontId="18" fillId="3" borderId="107" xfId="0" applyFont="1" applyFill="1" applyBorder="1" applyAlignment="1">
      <alignment vertical="center"/>
    </xf>
    <xf numFmtId="0" fontId="3" fillId="0" borderId="108" xfId="0" applyFont="1" applyBorder="1"/>
    <xf numFmtId="0" fontId="18" fillId="3" borderId="78" xfId="0" applyFont="1" applyFill="1" applyBorder="1" applyAlignment="1">
      <alignment vertical="center"/>
    </xf>
    <xf numFmtId="0" fontId="3" fillId="0" borderId="110" xfId="0" applyFont="1" applyBorder="1"/>
    <xf numFmtId="0" fontId="3" fillId="0" borderId="109" xfId="0" applyFont="1" applyBorder="1"/>
    <xf numFmtId="0" fontId="4" fillId="3" borderId="31" xfId="0" applyFont="1" applyFill="1" applyBorder="1" applyAlignment="1">
      <alignment vertical="center"/>
    </xf>
    <xf numFmtId="0" fontId="16" fillId="7" borderId="23" xfId="0" applyFont="1" applyFill="1" applyBorder="1" applyAlignment="1">
      <alignment vertical="center"/>
    </xf>
    <xf numFmtId="0" fontId="145" fillId="8" borderId="55" xfId="0" applyFont="1" applyFill="1" applyBorder="1" applyAlignment="1">
      <alignment vertical="center" wrapText="1"/>
    </xf>
    <xf numFmtId="0" fontId="146" fillId="8" borderId="22" xfId="0" applyFont="1" applyFill="1" applyBorder="1" applyAlignment="1">
      <alignment vertical="center" wrapText="1"/>
    </xf>
    <xf numFmtId="0" fontId="148" fillId="8" borderId="22" xfId="0" applyFont="1" applyFill="1" applyBorder="1" applyAlignment="1">
      <alignment vertical="center" wrapText="1"/>
    </xf>
    <xf numFmtId="0" fontId="18" fillId="3" borderId="29" xfId="0" applyFont="1" applyFill="1" applyBorder="1" applyAlignment="1">
      <alignment vertical="center"/>
    </xf>
    <xf numFmtId="0" fontId="149" fillId="8" borderId="118" xfId="0" applyFont="1" applyFill="1" applyBorder="1" applyAlignment="1">
      <alignment horizontal="center" vertical="center"/>
    </xf>
    <xf numFmtId="0" fontId="3" fillId="0" borderId="119" xfId="0" applyFont="1" applyBorder="1"/>
    <xf numFmtId="0" fontId="149" fillId="8" borderId="120" xfId="0" applyFont="1" applyFill="1" applyBorder="1" applyAlignment="1">
      <alignment horizontal="center" vertical="center"/>
    </xf>
    <xf numFmtId="0" fontId="16" fillId="5" borderId="0" xfId="0" applyFont="1" applyFill="1" applyAlignment="1">
      <alignment vertical="center"/>
    </xf>
    <xf numFmtId="0" fontId="22" fillId="3" borderId="78" xfId="0" applyFont="1" applyFill="1" applyBorder="1" applyAlignment="1">
      <alignment vertical="center"/>
    </xf>
    <xf numFmtId="0" fontId="151" fillId="5" borderId="0" xfId="0" applyFont="1" applyFill="1" applyAlignment="1">
      <alignment horizontal="left" vertical="center" wrapText="1"/>
    </xf>
    <xf numFmtId="0" fontId="151" fillId="7" borderId="103" xfId="0" applyFont="1" applyFill="1" applyBorder="1" applyAlignment="1">
      <alignment horizontal="left" vertical="center" wrapText="1"/>
    </xf>
    <xf numFmtId="0" fontId="18" fillId="8" borderId="6" xfId="0" applyFont="1" applyFill="1" applyBorder="1" applyAlignment="1">
      <alignment vertical="center" wrapText="1"/>
    </xf>
    <xf numFmtId="0" fontId="18" fillId="10" borderId="0" xfId="0" applyFont="1" applyFill="1" applyAlignment="1">
      <alignment vertical="center"/>
    </xf>
    <xf numFmtId="0" fontId="152" fillId="10" borderId="0" xfId="0" applyFont="1" applyFill="1" applyAlignment="1">
      <alignment horizontal="left" vertical="center"/>
    </xf>
    <xf numFmtId="0" fontId="18" fillId="3" borderId="31" xfId="0" applyFont="1" applyFill="1" applyBorder="1" applyAlignment="1">
      <alignment vertical="center"/>
    </xf>
    <xf numFmtId="0" fontId="50" fillId="3" borderId="17" xfId="0" applyFont="1" applyFill="1" applyBorder="1" applyAlignment="1">
      <alignment vertical="center" wrapText="1"/>
    </xf>
    <xf numFmtId="0" fontId="54" fillId="3" borderId="17" xfId="0" applyFont="1" applyFill="1" applyBorder="1" applyAlignment="1">
      <alignment vertical="center"/>
    </xf>
    <xf numFmtId="0" fontId="4" fillId="3" borderId="49" xfId="0" applyFont="1" applyFill="1" applyBorder="1" applyAlignment="1">
      <alignment vertical="center"/>
    </xf>
    <xf numFmtId="0" fontId="153" fillId="8" borderId="17" xfId="0" applyFont="1" applyFill="1" applyBorder="1" applyAlignment="1">
      <alignment vertical="center"/>
    </xf>
    <xf numFmtId="0" fontId="154" fillId="3" borderId="22" xfId="0" applyFont="1" applyFill="1" applyBorder="1" applyAlignment="1">
      <alignment horizontal="center" vertical="center"/>
    </xf>
    <xf numFmtId="0" fontId="129" fillId="8" borderId="22" xfId="0" applyFont="1" applyFill="1" applyBorder="1" applyAlignment="1">
      <alignment horizontal="center" vertical="center"/>
    </xf>
    <xf numFmtId="0" fontId="50" fillId="3" borderId="108" xfId="0" applyFont="1" applyFill="1" applyBorder="1" applyAlignment="1">
      <alignment vertical="center"/>
    </xf>
    <xf numFmtId="0" fontId="50" fillId="3" borderId="78" xfId="0" applyFont="1" applyFill="1" applyBorder="1" applyAlignment="1">
      <alignment vertical="center"/>
    </xf>
    <xf numFmtId="0" fontId="18" fillId="3" borderId="112" xfId="0" applyFont="1" applyFill="1" applyBorder="1" applyAlignment="1">
      <alignment vertical="center"/>
    </xf>
    <xf numFmtId="0" fontId="129" fillId="8" borderId="56" xfId="0" applyFont="1" applyFill="1" applyBorder="1" applyAlignment="1">
      <alignment horizontal="center" vertical="center"/>
    </xf>
    <xf numFmtId="0" fontId="38" fillId="7" borderId="102" xfId="0" applyFont="1" applyFill="1" applyBorder="1" applyAlignment="1">
      <alignment vertical="center"/>
    </xf>
    <xf numFmtId="0" fontId="110" fillId="3" borderId="0" xfId="0" applyFont="1" applyFill="1" applyAlignment="1">
      <alignment horizontal="center" vertical="center"/>
    </xf>
    <xf numFmtId="0" fontId="41" fillId="3" borderId="29" xfId="0" applyFont="1" applyFill="1" applyBorder="1" applyAlignment="1">
      <alignment horizontal="center" vertical="center"/>
    </xf>
    <xf numFmtId="0" fontId="111" fillId="3" borderId="29" xfId="0" applyFont="1" applyFill="1" applyBorder="1" applyAlignment="1">
      <alignment horizontal="center" vertical="center"/>
    </xf>
    <xf numFmtId="0" fontId="103" fillId="5" borderId="28" xfId="0" applyFont="1" applyFill="1" applyBorder="1" applyAlignment="1">
      <alignment horizontal="left" vertical="center"/>
    </xf>
    <xf numFmtId="0" fontId="114" fillId="13" borderId="6" xfId="0" applyFont="1" applyFill="1" applyBorder="1" applyAlignment="1">
      <alignment vertical="center"/>
    </xf>
    <xf numFmtId="0" fontId="115" fillId="14" borderId="4" xfId="0" applyFont="1" applyFill="1" applyBorder="1" applyAlignment="1">
      <alignment horizontal="center" vertical="center" wrapText="1"/>
    </xf>
    <xf numFmtId="0" fontId="101" fillId="3" borderId="31" xfId="0" applyFont="1" applyFill="1" applyBorder="1" applyAlignment="1">
      <alignment horizontal="center" vertical="center"/>
    </xf>
    <xf numFmtId="0" fontId="102" fillId="5" borderId="23" xfId="0" applyFont="1" applyFill="1" applyBorder="1" applyAlignment="1">
      <alignment horizontal="center" vertical="top" wrapText="1"/>
    </xf>
    <xf numFmtId="0" fontId="34" fillId="5" borderId="23" xfId="0" applyFont="1" applyFill="1" applyBorder="1" applyAlignment="1">
      <alignment horizontal="right" vertical="center" wrapText="1"/>
    </xf>
    <xf numFmtId="0" fontId="35" fillId="5" borderId="23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104" fillId="3" borderId="4" xfId="0" applyFont="1" applyFill="1" applyBorder="1" applyAlignment="1">
      <alignment vertical="center"/>
    </xf>
    <xf numFmtId="0" fontId="104" fillId="5" borderId="0" xfId="0" applyFont="1" applyFill="1" applyAlignment="1">
      <alignment vertical="center"/>
    </xf>
    <xf numFmtId="0" fontId="70" fillId="8" borderId="0" xfId="0" applyFont="1" applyFill="1" applyAlignment="1">
      <alignment horizontal="center" vertical="center"/>
    </xf>
    <xf numFmtId="0" fontId="41" fillId="3" borderId="0" xfId="0" applyFont="1" applyFill="1" applyAlignment="1">
      <alignment vertical="center"/>
    </xf>
    <xf numFmtId="0" fontId="6" fillId="3" borderId="33" xfId="0" applyFont="1" applyFill="1" applyBorder="1" applyAlignment="1">
      <alignment vertical="center" wrapText="1"/>
    </xf>
    <xf numFmtId="0" fontId="6" fillId="3" borderId="91" xfId="0" applyFont="1" applyFill="1" applyBorder="1" applyAlignment="1">
      <alignment horizontal="center" vertical="center"/>
    </xf>
    <xf numFmtId="0" fontId="3" fillId="0" borderId="89" xfId="0" applyFont="1" applyBorder="1"/>
    <xf numFmtId="0" fontId="49" fillId="3" borderId="40" xfId="0" applyFont="1" applyFill="1" applyBorder="1" applyAlignment="1">
      <alignment horizontal="center" vertical="center"/>
    </xf>
    <xf numFmtId="0" fontId="41" fillId="3" borderId="91" xfId="0" applyFont="1" applyFill="1" applyBorder="1" applyAlignment="1">
      <alignment horizontal="center" vertical="center"/>
    </xf>
    <xf numFmtId="0" fontId="3" fillId="0" borderId="65" xfId="0" applyFont="1" applyBorder="1"/>
    <xf numFmtId="0" fontId="74" fillId="8" borderId="0" xfId="0" applyFont="1" applyFill="1" applyAlignment="1">
      <alignment horizontal="center" vertical="center"/>
    </xf>
    <xf numFmtId="0" fontId="75" fillId="3" borderId="33" xfId="0" applyFont="1" applyFill="1" applyBorder="1" applyAlignment="1">
      <alignment vertical="center"/>
    </xf>
    <xf numFmtId="0" fontId="75" fillId="3" borderId="91" xfId="0" applyFont="1" applyFill="1" applyBorder="1" applyAlignment="1">
      <alignment horizontal="center" vertical="center"/>
    </xf>
    <xf numFmtId="0" fontId="41" fillId="3" borderId="0" xfId="0" applyFont="1" applyFill="1" applyAlignment="1">
      <alignment vertical="center" wrapText="1"/>
    </xf>
    <xf numFmtId="0" fontId="25" fillId="3" borderId="17" xfId="0" applyFont="1" applyFill="1" applyBorder="1" applyAlignment="1">
      <alignment vertical="center" wrapText="1"/>
    </xf>
    <xf numFmtId="0" fontId="22" fillId="3" borderId="0" xfId="0" applyFont="1" applyFill="1" applyAlignment="1">
      <alignment horizontal="left" vertical="center"/>
    </xf>
    <xf numFmtId="0" fontId="103" fillId="3" borderId="0" xfId="0" applyFont="1" applyFill="1" applyAlignment="1">
      <alignment horizontal="left" vertical="center"/>
    </xf>
    <xf numFmtId="0" fontId="103" fillId="5" borderId="0" xfId="0" applyFont="1" applyFill="1" applyAlignment="1">
      <alignment horizontal="left" vertical="center"/>
    </xf>
    <xf numFmtId="0" fontId="121" fillId="7" borderId="103" xfId="0" applyFont="1" applyFill="1" applyBorder="1" applyAlignment="1">
      <alignment vertical="center"/>
    </xf>
    <xf numFmtId="0" fontId="22" fillId="8" borderId="0" xfId="0" applyFont="1" applyFill="1" applyAlignment="1">
      <alignment vertical="center" wrapText="1"/>
    </xf>
    <xf numFmtId="0" fontId="124" fillId="8" borderId="0" xfId="0" applyFont="1" applyFill="1" applyAlignment="1">
      <alignment vertical="center"/>
    </xf>
    <xf numFmtId="0" fontId="69" fillId="5" borderId="105" xfId="0" applyFont="1" applyFill="1" applyBorder="1" applyAlignment="1">
      <alignment vertical="center"/>
    </xf>
    <xf numFmtId="0" fontId="3" fillId="0" borderId="106" xfId="0" applyFont="1" applyBorder="1"/>
    <xf numFmtId="0" fontId="103" fillId="3" borderId="31" xfId="0" applyFont="1" applyFill="1" applyBorder="1" applyAlignment="1">
      <alignment horizontal="left" vertical="center"/>
    </xf>
    <xf numFmtId="0" fontId="16" fillId="7" borderId="103" xfId="0" applyFont="1" applyFill="1" applyBorder="1" applyAlignment="1">
      <alignment horizontal="left" vertical="center"/>
    </xf>
    <xf numFmtId="0" fontId="25" fillId="8" borderId="107" xfId="0" applyFont="1" applyFill="1" applyBorder="1" applyAlignment="1">
      <alignment vertical="center" wrapText="1"/>
    </xf>
    <xf numFmtId="0" fontId="125" fillId="8" borderId="78" xfId="0" applyFont="1" applyFill="1" applyBorder="1" applyAlignment="1">
      <alignment vertical="center"/>
    </xf>
    <xf numFmtId="0" fontId="126" fillId="8" borderId="111" xfId="0" applyFont="1" applyFill="1" applyBorder="1" applyAlignment="1">
      <alignment vertical="center"/>
    </xf>
    <xf numFmtId="0" fontId="25" fillId="8" borderId="0" xfId="0" applyFont="1" applyFill="1" applyAlignment="1">
      <alignment vertical="center"/>
    </xf>
    <xf numFmtId="0" fontId="3" fillId="0" borderId="113" xfId="0" applyFont="1" applyBorder="1"/>
    <xf numFmtId="0" fontId="128" fillId="3" borderId="112" xfId="0" applyFont="1" applyFill="1" applyBorder="1" applyAlignment="1">
      <alignment vertical="center"/>
    </xf>
    <xf numFmtId="0" fontId="50" fillId="3" borderId="72" xfId="0" applyFont="1" applyFill="1" applyBorder="1" applyAlignment="1">
      <alignment vertical="center" wrapText="1"/>
    </xf>
    <xf numFmtId="0" fontId="16" fillId="5" borderId="23" xfId="0" applyFont="1" applyFill="1" applyBorder="1" applyAlignment="1">
      <alignment vertical="center"/>
    </xf>
    <xf numFmtId="0" fontId="16" fillId="5" borderId="28" xfId="0" applyFont="1" applyFill="1" applyBorder="1" applyAlignment="1">
      <alignment vertical="center"/>
    </xf>
    <xf numFmtId="0" fontId="16" fillId="7" borderId="103" xfId="0" applyFont="1" applyFill="1" applyBorder="1" applyAlignment="1">
      <alignment vertical="center" wrapText="1"/>
    </xf>
    <xf numFmtId="0" fontId="133" fillId="8" borderId="55" xfId="0" applyFont="1" applyFill="1" applyBorder="1" applyAlignment="1">
      <alignment vertical="center"/>
    </xf>
    <xf numFmtId="0" fontId="134" fillId="8" borderId="0" xfId="0" applyFont="1" applyFill="1" applyAlignment="1">
      <alignment vertical="center" wrapText="1"/>
    </xf>
    <xf numFmtId="0" fontId="18" fillId="3" borderId="0" xfId="0" applyFont="1" applyFill="1" applyAlignment="1">
      <alignment vertical="center"/>
    </xf>
    <xf numFmtId="0" fontId="137" fillId="8" borderId="88" xfId="0" applyFont="1" applyFill="1" applyBorder="1" applyAlignment="1">
      <alignment vertical="center"/>
    </xf>
    <xf numFmtId="0" fontId="3" fillId="0" borderId="116" xfId="0" applyFont="1" applyBorder="1"/>
    <xf numFmtId="0" fontId="138" fillId="8" borderId="47" xfId="0" applyFont="1" applyFill="1" applyBorder="1" applyAlignment="1">
      <alignment vertical="center" wrapText="1"/>
    </xf>
    <xf numFmtId="0" fontId="4" fillId="0" borderId="31" xfId="0" applyFont="1" applyBorder="1" applyAlignment="1">
      <alignment vertical="center"/>
    </xf>
    <xf numFmtId="0" fontId="18" fillId="3" borderId="73" xfId="0" applyFont="1" applyFill="1" applyBorder="1" applyAlignment="1">
      <alignment vertical="center"/>
    </xf>
    <xf numFmtId="0" fontId="3" fillId="0" borderId="117" xfId="0" applyFont="1" applyBorder="1"/>
    <xf numFmtId="0" fontId="141" fillId="8" borderId="53" xfId="0" applyFont="1" applyFill="1" applyBorder="1" applyAlignment="1">
      <alignment vertical="center"/>
    </xf>
    <xf numFmtId="0" fontId="143" fillId="3" borderId="0" xfId="0" applyFont="1" applyFill="1" applyAlignment="1">
      <alignment vertical="center"/>
    </xf>
    <xf numFmtId="0" fontId="60" fillId="3" borderId="112" xfId="0" applyFont="1" applyFill="1" applyBorder="1" applyAlignment="1">
      <alignment vertical="center"/>
    </xf>
    <xf numFmtId="0" fontId="25" fillId="3" borderId="112" xfId="0" applyFont="1" applyFill="1" applyBorder="1" applyAlignment="1">
      <alignment vertical="center"/>
    </xf>
    <xf numFmtId="0" fontId="144" fillId="8" borderId="6" xfId="0" applyFont="1" applyFill="1" applyBorder="1" applyAlignment="1">
      <alignment vertical="center"/>
    </xf>
    <xf numFmtId="0" fontId="18" fillId="3" borderId="73" xfId="0" applyFont="1" applyFill="1" applyBorder="1" applyAlignment="1">
      <alignment vertical="center" wrapText="1"/>
    </xf>
    <xf numFmtId="0" fontId="98" fillId="5" borderId="0" xfId="0" applyFont="1" applyFill="1" applyAlignment="1">
      <alignment vertical="center"/>
    </xf>
    <xf numFmtId="0" fontId="67" fillId="3" borderId="17" xfId="0" applyFont="1" applyFill="1" applyBorder="1" applyAlignment="1">
      <alignment vertical="center"/>
    </xf>
    <xf numFmtId="0" fontId="112" fillId="5" borderId="23" xfId="0" applyFont="1" applyFill="1" applyBorder="1"/>
    <xf numFmtId="0" fontId="4" fillId="3" borderId="4" xfId="0" applyFont="1" applyFill="1" applyBorder="1" applyAlignment="1">
      <alignment vertical="center"/>
    </xf>
    <xf numFmtId="0" fontId="155" fillId="15" borderId="121" xfId="0" applyFont="1" applyFill="1" applyBorder="1" applyAlignment="1">
      <alignment horizontal="center" wrapText="1"/>
    </xf>
    <xf numFmtId="0" fontId="3" fillId="3" borderId="122" xfId="0" applyFont="1" applyFill="1" applyBorder="1"/>
    <xf numFmtId="0" fontId="3" fillId="3" borderId="123" xfId="0" applyFont="1" applyFill="1" applyBorder="1"/>
    <xf numFmtId="0" fontId="3" fillId="4" borderId="125" xfId="0" applyFont="1" applyFill="1" applyBorder="1"/>
    <xf numFmtId="0" fontId="3" fillId="4" borderId="126" xfId="0" applyFont="1" applyFill="1" applyBorder="1"/>
    <xf numFmtId="0" fontId="3" fillId="4" borderId="127" xfId="0" applyFont="1" applyFill="1" applyBorder="1"/>
    <xf numFmtId="0" fontId="156" fillId="15" borderId="128" xfId="0" applyFont="1" applyFill="1" applyBorder="1" applyAlignment="1">
      <alignment horizontal="center" vertical="top" wrapText="1"/>
    </xf>
    <xf numFmtId="0" fontId="3" fillId="0" borderId="129" xfId="0" applyFont="1" applyBorder="1"/>
    <xf numFmtId="0" fontId="3" fillId="0" borderId="130" xfId="0" applyFont="1" applyBorder="1"/>
    <xf numFmtId="9" fontId="33" fillId="15" borderId="131" xfId="0" applyNumberFormat="1" applyFont="1" applyFill="1" applyBorder="1" applyAlignment="1">
      <alignment vertical="center" wrapText="1"/>
    </xf>
    <xf numFmtId="0" fontId="3" fillId="0" borderId="132" xfId="0" applyFont="1" applyBorder="1"/>
    <xf numFmtId="0" fontId="3" fillId="0" borderId="133" xfId="0" applyFont="1" applyBorder="1"/>
    <xf numFmtId="0" fontId="157" fillId="16" borderId="6" xfId="0" applyFont="1" applyFill="1" applyBorder="1"/>
    <xf numFmtId="0" fontId="116" fillId="10" borderId="6" xfId="0" applyFont="1" applyFill="1" applyBorder="1"/>
    <xf numFmtId="0" fontId="103" fillId="15" borderId="0" xfId="0" applyFont="1" applyFill="1" applyAlignment="1">
      <alignment horizontal="left" vertical="center"/>
    </xf>
    <xf numFmtId="0" fontId="158" fillId="16" borderId="128" xfId="0" applyFont="1" applyFill="1" applyBorder="1" applyAlignment="1">
      <alignment vertical="center"/>
    </xf>
    <xf numFmtId="0" fontId="130" fillId="17" borderId="6" xfId="0" applyFont="1" applyFill="1" applyBorder="1" applyAlignment="1">
      <alignment horizontal="center"/>
    </xf>
    <xf numFmtId="0" fontId="159" fillId="4" borderId="6" xfId="0" applyFont="1" applyFill="1" applyBorder="1"/>
    <xf numFmtId="0" fontId="98" fillId="3" borderId="6" xfId="0" applyFont="1" applyFill="1" applyBorder="1"/>
    <xf numFmtId="0" fontId="116" fillId="4" borderId="6" xfId="0" applyFont="1" applyFill="1" applyBorder="1"/>
    <xf numFmtId="0" fontId="116" fillId="3" borderId="6" xfId="0" applyFont="1" applyFill="1" applyBorder="1"/>
    <xf numFmtId="0" fontId="116" fillId="4" borderId="6" xfId="0" applyFont="1" applyFill="1" applyBorder="1" applyAlignment="1">
      <alignment wrapText="1"/>
    </xf>
    <xf numFmtId="0" fontId="116" fillId="3" borderId="6" xfId="0" applyFont="1" applyFill="1" applyBorder="1" applyAlignment="1">
      <alignment wrapText="1"/>
    </xf>
    <xf numFmtId="0" fontId="161" fillId="4" borderId="6" xfId="0" applyFont="1" applyFill="1" applyBorder="1"/>
    <xf numFmtId="0" fontId="116" fillId="4" borderId="6" xfId="0" applyFont="1" applyFill="1" applyBorder="1" applyAlignment="1">
      <alignment vertical="top"/>
    </xf>
    <xf numFmtId="0" fontId="162" fillId="4" borderId="6" xfId="0" applyFont="1" applyFill="1" applyBorder="1"/>
    <xf numFmtId="0" fontId="116" fillId="0" borderId="6" xfId="0" applyFont="1" applyBorder="1"/>
    <xf numFmtId="0" fontId="163" fillId="4" borderId="6" xfId="0" applyFont="1" applyFill="1" applyBorder="1" applyAlignment="1">
      <alignment wrapText="1"/>
    </xf>
    <xf numFmtId="0" fontId="163" fillId="3" borderId="6" xfId="0" applyFont="1" applyFill="1" applyBorder="1"/>
    <xf numFmtId="0" fontId="164" fillId="4" borderId="6" xfId="0" applyFont="1" applyFill="1" applyBorder="1" applyAlignment="1">
      <alignment wrapText="1"/>
    </xf>
    <xf numFmtId="0" fontId="98" fillId="3" borderId="0" xfId="0" applyFont="1" applyFill="1"/>
    <xf numFmtId="0" fontId="166" fillId="16" borderId="128" xfId="0" applyFont="1" applyFill="1" applyBorder="1" applyAlignment="1">
      <alignment horizontal="left" vertical="center"/>
    </xf>
    <xf numFmtId="0" fontId="165" fillId="18" borderId="6" xfId="0" applyFont="1" applyFill="1" applyBorder="1" applyAlignment="1">
      <alignment vertical="center" wrapText="1"/>
    </xf>
    <xf numFmtId="0" fontId="167" fillId="17" borderId="6" xfId="0" applyFont="1" applyFill="1" applyBorder="1" applyAlignment="1">
      <alignment horizontal="center"/>
    </xf>
    <xf numFmtId="0" fontId="69" fillId="3" borderId="6" xfId="0" applyFont="1" applyFill="1" applyBorder="1"/>
    <xf numFmtId="0" fontId="3" fillId="0" borderId="134" xfId="0" applyFont="1" applyBorder="1"/>
    <xf numFmtId="0" fontId="69" fillId="3" borderId="4" xfId="0" applyFont="1" applyFill="1" applyBorder="1"/>
    <xf numFmtId="0" fontId="130" fillId="17" borderId="4" xfId="0" applyFont="1" applyFill="1" applyBorder="1" applyAlignment="1">
      <alignment horizontal="center"/>
    </xf>
    <xf numFmtId="0" fontId="168" fillId="3" borderId="6" xfId="0" applyFont="1" applyFill="1" applyBorder="1"/>
    <xf numFmtId="0" fontId="168" fillId="4" borderId="6" xfId="0" applyFont="1" applyFill="1" applyBorder="1"/>
    <xf numFmtId="0" fontId="1" fillId="15" borderId="131" xfId="0" applyFont="1" applyFill="1" applyBorder="1"/>
    <xf numFmtId="0" fontId="168" fillId="4" borderId="53" xfId="0" applyFont="1" applyFill="1" applyBorder="1"/>
    <xf numFmtId="0" fontId="167" fillId="17" borderId="4" xfId="0" applyFont="1" applyFill="1" applyBorder="1" applyAlignment="1">
      <alignment horizontal="center"/>
    </xf>
    <xf numFmtId="0" fontId="69" fillId="0" borderId="4" xfId="0" applyFont="1" applyBorder="1"/>
    <xf numFmtId="0" fontId="168" fillId="3" borderId="53" xfId="0" applyFont="1" applyFill="1" applyBorder="1"/>
    <xf numFmtId="0" fontId="3" fillId="3" borderId="5" xfId="0" applyFont="1" applyFill="1" applyBorder="1"/>
    <xf numFmtId="0" fontId="4" fillId="3" borderId="8" xfId="0" applyFont="1" applyFill="1" applyBorder="1"/>
    <xf numFmtId="0" fontId="4" fillId="4" borderId="8" xfId="0" applyFont="1" applyFill="1" applyBorder="1"/>
    <xf numFmtId="0" fontId="169" fillId="3" borderId="6" xfId="0" applyFont="1" applyFill="1" applyBorder="1"/>
    <xf numFmtId="0" fontId="169" fillId="19" borderId="6" xfId="0" applyFont="1" applyFill="1" applyBorder="1"/>
    <xf numFmtId="0" fontId="103" fillId="3" borderId="0" xfId="0" applyFont="1" applyFill="1" applyAlignment="1">
      <alignment horizontal="left"/>
    </xf>
    <xf numFmtId="0" fontId="4" fillId="3" borderId="4" xfId="0" applyFont="1" applyFill="1" applyBorder="1"/>
    <xf numFmtId="0" fontId="170" fillId="3" borderId="53" xfId="0" applyFont="1" applyFill="1" applyBorder="1"/>
    <xf numFmtId="0" fontId="171" fillId="4" borderId="53" xfId="0" applyFont="1" applyFill="1" applyBorder="1"/>
    <xf numFmtId="0" fontId="130" fillId="17" borderId="135" xfId="0" applyFont="1" applyFill="1" applyBorder="1" applyAlignment="1">
      <alignment horizontal="center"/>
    </xf>
    <xf numFmtId="0" fontId="3" fillId="0" borderId="136" xfId="0" applyFont="1" applyBorder="1"/>
    <xf numFmtId="0" fontId="3" fillId="0" borderId="137" xfId="0" applyFont="1" applyBorder="1"/>
    <xf numFmtId="0" fontId="185" fillId="4" borderId="6" xfId="0" applyFont="1" applyFill="1" applyBorder="1"/>
    <xf numFmtId="0" fontId="163" fillId="3" borderId="6" xfId="0" applyFont="1" applyFill="1" applyBorder="1" applyAlignment="1">
      <alignment vertical="top" wrapText="1"/>
    </xf>
    <xf numFmtId="0" fontId="186" fillId="4" borderId="6" xfId="0" applyFont="1" applyFill="1" applyBorder="1" applyAlignment="1">
      <alignment wrapText="1"/>
    </xf>
    <xf numFmtId="0" fontId="173" fillId="3" borderId="4" xfId="0" applyFont="1" applyFill="1" applyBorder="1" applyAlignment="1">
      <alignment wrapText="1"/>
    </xf>
    <xf numFmtId="0" fontId="116" fillId="4" borderId="4" xfId="0" applyFont="1" applyFill="1" applyBorder="1" applyAlignment="1">
      <alignment wrapText="1"/>
    </xf>
    <xf numFmtId="0" fontId="181" fillId="18" borderId="4" xfId="0" applyFont="1" applyFill="1" applyBorder="1"/>
    <xf numFmtId="0" fontId="182" fillId="4" borderId="4" xfId="0" applyFont="1" applyFill="1" applyBorder="1" applyAlignment="1">
      <alignment vertical="center" wrapText="1"/>
    </xf>
    <xf numFmtId="0" fontId="103" fillId="3" borderId="31" xfId="0" applyFont="1" applyFill="1" applyBorder="1" applyAlignment="1">
      <alignment horizontal="left"/>
    </xf>
    <xf numFmtId="0" fontId="1" fillId="15" borderId="131" xfId="0" applyFont="1" applyFill="1" applyBorder="1" applyAlignment="1">
      <alignment vertical="center"/>
    </xf>
    <xf numFmtId="0" fontId="60" fillId="4" borderId="6" xfId="0" applyFont="1" applyFill="1" applyBorder="1"/>
    <xf numFmtId="0" fontId="3" fillId="0" borderId="143" xfId="0" applyFont="1" applyBorder="1"/>
    <xf numFmtId="0" fontId="60" fillId="3" borderId="6" xfId="0" applyFont="1" applyFill="1" applyBorder="1"/>
    <xf numFmtId="0" fontId="4" fillId="3" borderId="125" xfId="0" applyFont="1" applyFill="1" applyBorder="1"/>
    <xf numFmtId="0" fontId="3" fillId="0" borderId="126" xfId="0" applyFont="1" applyBorder="1"/>
    <xf numFmtId="0" fontId="3" fillId="0" borderId="127" xfId="0" applyFont="1" applyBorder="1"/>
    <xf numFmtId="0" fontId="4" fillId="15" borderId="128" xfId="0" applyFont="1" applyFill="1" applyBorder="1" applyAlignment="1">
      <alignment vertical="center"/>
    </xf>
    <xf numFmtId="0" fontId="187" fillId="3" borderId="6" xfId="0" applyFont="1" applyFill="1" applyBorder="1" applyAlignment="1">
      <alignment vertical="center"/>
    </xf>
    <xf numFmtId="0" fontId="188" fillId="4" borderId="0" xfId="0" applyFont="1" applyFill="1" applyAlignment="1">
      <alignment wrapText="1"/>
    </xf>
    <xf numFmtId="0" fontId="187" fillId="3" borderId="0" xfId="0" applyFont="1" applyFill="1" applyAlignment="1">
      <alignment vertical="center"/>
    </xf>
    <xf numFmtId="0" fontId="187" fillId="16" borderId="128" xfId="0" applyFont="1" applyFill="1" applyBorder="1" applyAlignment="1">
      <alignment vertical="center"/>
    </xf>
    <xf numFmtId="0" fontId="4" fillId="4" borderId="140" xfId="0" applyFont="1" applyFill="1" applyBorder="1"/>
    <xf numFmtId="0" fontId="3" fillId="0" borderId="141" xfId="0" applyFont="1" applyBorder="1"/>
    <xf numFmtId="0" fontId="4" fillId="3" borderId="142" xfId="0" applyFont="1" applyFill="1" applyBorder="1"/>
    <xf numFmtId="0" fontId="166" fillId="16" borderId="121" xfId="0" applyFont="1" applyFill="1" applyBorder="1" applyAlignment="1">
      <alignment horizontal="left" vertical="center"/>
    </xf>
    <xf numFmtId="0" fontId="3" fillId="0" borderId="122" xfId="0" applyFont="1" applyBorder="1"/>
    <xf numFmtId="0" fontId="3" fillId="0" borderId="123" xfId="0" applyFont="1" applyBorder="1"/>
    <xf numFmtId="0" fontId="172" fillId="19" borderId="138" xfId="0" applyFont="1" applyFill="1" applyBorder="1" applyAlignment="1">
      <alignment wrapText="1"/>
    </xf>
    <xf numFmtId="0" fontId="3" fillId="0" borderId="139" xfId="0" applyFont="1" applyBorder="1"/>
    <xf numFmtId="0" fontId="130" fillId="3" borderId="6" xfId="0" applyFont="1" applyFill="1" applyBorder="1" applyAlignment="1">
      <alignment horizontal="center" vertical="center" wrapText="1"/>
    </xf>
    <xf numFmtId="0" fontId="130" fillId="17" borderId="4" xfId="0" applyFont="1" applyFill="1" applyBorder="1" applyAlignment="1">
      <alignment horizontal="center" vertical="center" wrapText="1"/>
    </xf>
    <xf numFmtId="0" fontId="176" fillId="3" borderId="6" xfId="0" applyFont="1" applyFill="1" applyBorder="1" applyAlignment="1">
      <alignment wrapText="1"/>
    </xf>
    <xf numFmtId="0" fontId="163" fillId="3" borderId="6" xfId="0" applyFont="1" applyFill="1" applyBorder="1" applyAlignment="1">
      <alignment wrapText="1"/>
    </xf>
    <xf numFmtId="0" fontId="163" fillId="4" borderId="6" xfId="0" applyFont="1" applyFill="1" applyBorder="1"/>
    <xf numFmtId="0" fontId="174" fillId="3" borderId="4" xfId="0" applyFont="1" applyFill="1" applyBorder="1"/>
    <xf numFmtId="0" fontId="163" fillId="4" borderId="4" xfId="0" applyFont="1" applyFill="1" applyBorder="1" applyAlignment="1">
      <alignment wrapText="1"/>
    </xf>
    <xf numFmtId="0" fontId="175" fillId="4" borderId="4" xfId="0" applyFont="1" applyFill="1" applyBorder="1"/>
    <xf numFmtId="0" fontId="4" fillId="3" borderId="6" xfId="0" applyFont="1" applyFill="1" applyBorder="1"/>
    <xf numFmtId="0" fontId="116" fillId="4" borderId="4" xfId="0" applyFont="1" applyFill="1" applyBorder="1"/>
    <xf numFmtId="0" fontId="4" fillId="3" borderId="8" xfId="0" applyFont="1" applyFill="1" applyBorder="1" applyAlignment="1">
      <alignment horizontal="center"/>
    </xf>
    <xf numFmtId="0" fontId="91" fillId="17" borderId="6" xfId="0" applyFont="1" applyFill="1" applyBorder="1" applyAlignment="1">
      <alignment horizontal="center"/>
    </xf>
    <xf numFmtId="0" fontId="177" fillId="3" borderId="53" xfId="0" applyFont="1" applyFill="1" applyBorder="1" applyAlignment="1">
      <alignment wrapText="1"/>
    </xf>
    <xf numFmtId="0" fontId="178" fillId="4" borderId="48" xfId="0" applyFont="1" applyFill="1" applyBorder="1" applyAlignment="1">
      <alignment wrapText="1"/>
    </xf>
    <xf numFmtId="0" fontId="179" fillId="3" borderId="48" xfId="0" applyFont="1" applyFill="1" applyBorder="1"/>
    <xf numFmtId="0" fontId="116" fillId="4" borderId="48" xfId="0" applyFont="1" applyFill="1" applyBorder="1"/>
    <xf numFmtId="0" fontId="180" fillId="3" borderId="48" xfId="0" applyFont="1" applyFill="1" applyBorder="1" applyAlignment="1">
      <alignment wrapText="1"/>
    </xf>
    <xf numFmtId="0" fontId="116" fillId="4" borderId="48" xfId="0" applyFont="1" applyFill="1" applyBorder="1" applyAlignment="1">
      <alignment wrapText="1"/>
    </xf>
    <xf numFmtId="0" fontId="116" fillId="3" borderId="48" xfId="0" applyFont="1" applyFill="1" applyBorder="1" applyAlignment="1">
      <alignment wrapText="1"/>
    </xf>
    <xf numFmtId="0" fontId="142" fillId="3" borderId="6" xfId="0" applyFont="1" applyFill="1" applyBorder="1" applyAlignment="1">
      <alignment wrapText="1"/>
    </xf>
    <xf numFmtId="0" fontId="158" fillId="16" borderId="125" xfId="0" applyFont="1" applyFill="1" applyBorder="1" applyAlignment="1">
      <alignment vertical="center"/>
    </xf>
    <xf numFmtId="0" fontId="183" fillId="17" borderId="6" xfId="0" applyFont="1" applyFill="1" applyBorder="1"/>
    <xf numFmtId="0" fontId="184" fillId="4" borderId="4" xfId="0" applyFont="1" applyFill="1" applyBorder="1" applyAlignment="1">
      <alignment wrapText="1"/>
    </xf>
    <xf numFmtId="0" fontId="101" fillId="3" borderId="4" xfId="0" applyFont="1" applyFill="1" applyBorder="1" applyAlignment="1">
      <alignment horizontal="center" vertical="center"/>
    </xf>
    <xf numFmtId="0" fontId="142" fillId="4" borderId="53" xfId="0" applyFont="1" applyFill="1" applyBorder="1" applyAlignment="1">
      <alignment wrapText="1"/>
    </xf>
    <xf numFmtId="0" fontId="189" fillId="5" borderId="23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04" fillId="3" borderId="0" xfId="0" applyFont="1" applyFill="1" applyAlignment="1">
      <alignment vertical="center"/>
    </xf>
    <xf numFmtId="0" fontId="111" fillId="3" borderId="54" xfId="0" applyFont="1" applyFill="1" applyBorder="1" applyAlignment="1">
      <alignment horizontal="center" vertical="center"/>
    </xf>
    <xf numFmtId="0" fontId="104" fillId="5" borderId="0" xfId="0" applyFont="1" applyFill="1" applyAlignment="1">
      <alignment horizontal="left" vertical="center"/>
    </xf>
    <xf numFmtId="0" fontId="147" fillId="8" borderId="6" xfId="0" applyFont="1" applyFill="1" applyBorder="1" applyAlignment="1">
      <alignment vertical="center"/>
    </xf>
    <xf numFmtId="0" fontId="50" fillId="8" borderId="22" xfId="0" applyFont="1" applyFill="1" applyBorder="1" applyAlignment="1">
      <alignment vertical="center"/>
    </xf>
    <xf numFmtId="0" fontId="50" fillId="8" borderId="17" xfId="0" applyFont="1" applyFill="1" applyBorder="1" applyAlignment="1">
      <alignment vertical="center"/>
    </xf>
    <xf numFmtId="0" fontId="147" fillId="3" borderId="22" xfId="0" applyFont="1" applyFill="1" applyBorder="1" applyAlignment="1">
      <alignment vertical="center" wrapText="1"/>
    </xf>
    <xf numFmtId="0" fontId="56" fillId="3" borderId="22" xfId="0" applyFont="1" applyFill="1" applyBorder="1" applyAlignment="1">
      <alignment horizontal="center" vertical="center"/>
    </xf>
    <xf numFmtId="0" fontId="56" fillId="8" borderId="22" xfId="0" applyFont="1" applyFill="1" applyBorder="1" applyAlignment="1">
      <alignment horizontal="center" vertical="center"/>
    </xf>
    <xf numFmtId="14" fontId="18" fillId="3" borderId="17" xfId="0" applyNumberFormat="1" applyFont="1" applyFill="1" applyBorder="1" applyAlignment="1">
      <alignment horizontal="left" vertical="center"/>
    </xf>
    <xf numFmtId="14" fontId="50" fillId="8" borderId="17" xfId="0" applyNumberFormat="1" applyFont="1" applyFill="1" applyBorder="1" applyAlignment="1">
      <alignment horizontal="left" vertical="center"/>
    </xf>
    <xf numFmtId="0" fontId="60" fillId="3" borderId="0" xfId="0" applyFont="1" applyFill="1" applyAlignment="1">
      <alignment vertical="center"/>
    </xf>
    <xf numFmtId="0" fontId="151" fillId="7" borderId="0" xfId="0" applyFont="1" applyFill="1" applyAlignment="1">
      <alignment horizontal="left" vertical="center" wrapText="1"/>
    </xf>
    <xf numFmtId="0" fontId="151" fillId="3" borderId="0" xfId="0" applyFont="1" applyFill="1" applyAlignment="1">
      <alignment horizontal="left" vertical="center" wrapText="1"/>
    </xf>
    <xf numFmtId="0" fontId="60" fillId="5" borderId="0" xfId="0" applyFont="1" applyFill="1" applyAlignment="1">
      <alignment vertical="center"/>
    </xf>
    <xf numFmtId="0" fontId="194" fillId="7" borderId="103" xfId="0" applyFont="1" applyFill="1" applyBorder="1" applyAlignment="1">
      <alignment horizontal="left" vertical="center"/>
    </xf>
    <xf numFmtId="0" fontId="195" fillId="8" borderId="0" xfId="0" applyFont="1" applyFill="1" applyAlignment="1">
      <alignment horizontal="left" vertical="center"/>
    </xf>
    <xf numFmtId="0" fontId="98" fillId="3" borderId="0" xfId="0" applyFont="1" applyFill="1" applyAlignment="1">
      <alignment horizontal="left" vertical="center"/>
    </xf>
    <xf numFmtId="0" fontId="51" fillId="8" borderId="0" xfId="0" applyFont="1" applyFill="1" applyAlignment="1">
      <alignment horizontal="center" vertical="center"/>
    </xf>
    <xf numFmtId="0" fontId="99" fillId="8" borderId="0" xfId="0" applyFont="1" applyFill="1" applyAlignment="1">
      <alignment horizontal="left" vertical="center"/>
    </xf>
    <xf numFmtId="14" fontId="25" fillId="3" borderId="17" xfId="0" applyNumberFormat="1" applyFont="1" applyFill="1" applyBorder="1" applyAlignment="1">
      <alignment horizontal="left" vertical="center"/>
    </xf>
    <xf numFmtId="0" fontId="18" fillId="3" borderId="110" xfId="0" applyFont="1" applyFill="1" applyBorder="1" applyAlignment="1">
      <alignment vertical="center"/>
    </xf>
    <xf numFmtId="0" fontId="99" fillId="8" borderId="110" xfId="0" applyFont="1" applyFill="1" applyBorder="1" applyAlignment="1">
      <alignment horizontal="center" vertical="center"/>
    </xf>
    <xf numFmtId="0" fontId="99" fillId="8" borderId="112" xfId="0" applyFont="1" applyFill="1" applyBorder="1" applyAlignment="1">
      <alignment vertical="center" wrapText="1"/>
    </xf>
    <xf numFmtId="0" fontId="22" fillId="8" borderId="0" xfId="0" applyFont="1" applyFill="1" applyAlignment="1">
      <alignment horizontal="left" vertical="center" wrapText="1"/>
    </xf>
    <xf numFmtId="0" fontId="151" fillId="3" borderId="22" xfId="0" applyFont="1" applyFill="1" applyBorder="1" applyAlignment="1">
      <alignment horizontal="left" vertical="center" wrapText="1"/>
    </xf>
    <xf numFmtId="0" fontId="69" fillId="0" borderId="49" xfId="0" applyFont="1" applyBorder="1" applyAlignment="1">
      <alignment horizontal="left" vertical="center"/>
    </xf>
    <xf numFmtId="0" fontId="50" fillId="3" borderId="22" xfId="0" applyFont="1" applyFill="1" applyBorder="1" applyAlignment="1">
      <alignment vertical="center"/>
    </xf>
    <xf numFmtId="0" fontId="50" fillId="10" borderId="22" xfId="0" applyFont="1" applyFill="1" applyBorder="1" applyAlignment="1">
      <alignment vertical="center"/>
    </xf>
    <xf numFmtId="0" fontId="50" fillId="10" borderId="17" xfId="0" applyFont="1" applyFill="1" applyBorder="1" applyAlignment="1">
      <alignment horizontal="left" vertical="center"/>
    </xf>
    <xf numFmtId="14" fontId="69" fillId="0" borderId="49" xfId="0" applyNumberFormat="1" applyFont="1" applyBorder="1" applyAlignment="1">
      <alignment horizontal="left" vertical="center"/>
    </xf>
    <xf numFmtId="0" fontId="50" fillId="8" borderId="17" xfId="0" applyFont="1" applyFill="1" applyBorder="1" applyAlignment="1">
      <alignment horizontal="left" vertical="center"/>
    </xf>
    <xf numFmtId="0" fontId="202" fillId="3" borderId="22" xfId="0" applyFont="1" applyFill="1" applyBorder="1" applyAlignment="1">
      <alignment vertical="center"/>
    </xf>
    <xf numFmtId="0" fontId="48" fillId="8" borderId="22" xfId="0" applyFont="1" applyFill="1" applyBorder="1" applyAlignment="1">
      <alignment horizontal="center" vertical="center"/>
    </xf>
    <xf numFmtId="0" fontId="198" fillId="10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center" vertical="center"/>
    </xf>
    <xf numFmtId="0" fontId="4" fillId="3" borderId="45" xfId="0" applyFont="1" applyFill="1" applyBorder="1" applyAlignment="1">
      <alignment vertical="center"/>
    </xf>
    <xf numFmtId="0" fontId="135" fillId="3" borderId="73" xfId="0" applyFont="1" applyFill="1" applyBorder="1" applyAlignment="1">
      <alignment vertical="center"/>
    </xf>
    <xf numFmtId="0" fontId="3" fillId="0" borderId="55" xfId="0" applyFont="1" applyBorder="1"/>
    <xf numFmtId="0" fontId="18" fillId="8" borderId="0" xfId="0" applyFont="1" applyFill="1" applyAlignment="1">
      <alignment vertical="center" wrapText="1"/>
    </xf>
    <xf numFmtId="0" fontId="18" fillId="3" borderId="22" xfId="0" applyFont="1" applyFill="1" applyBorder="1" applyAlignment="1">
      <alignment horizontal="center" vertical="center"/>
    </xf>
    <xf numFmtId="0" fontId="199" fillId="3" borderId="17" xfId="0" applyFont="1" applyFill="1" applyBorder="1" applyAlignment="1">
      <alignment vertical="center"/>
    </xf>
    <xf numFmtId="0" fontId="201" fillId="3" borderId="22" xfId="0" applyFont="1" applyFill="1" applyBorder="1" applyAlignment="1">
      <alignment horizontal="left" vertical="center"/>
    </xf>
    <xf numFmtId="0" fontId="18" fillId="8" borderId="22" xfId="0" applyFont="1" applyFill="1" applyBorder="1" applyAlignment="1">
      <alignment vertical="center" wrapText="1"/>
    </xf>
    <xf numFmtId="0" fontId="95" fillId="3" borderId="22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203" fillId="8" borderId="17" xfId="0" applyFont="1" applyFill="1" applyBorder="1" applyAlignment="1">
      <alignment vertical="center"/>
    </xf>
    <xf numFmtId="0" fontId="204" fillId="3" borderId="17" xfId="0" applyFont="1" applyFill="1" applyBorder="1" applyAlignment="1">
      <alignment vertical="center" wrapText="1"/>
    </xf>
    <xf numFmtId="0" fontId="16" fillId="7" borderId="0" xfId="0" applyFont="1" applyFill="1" applyAlignment="1">
      <alignment horizontal="left" vertical="center"/>
    </xf>
    <xf numFmtId="0" fontId="3" fillId="3" borderId="110" xfId="0" applyFont="1" applyFill="1" applyBorder="1"/>
    <xf numFmtId="0" fontId="3" fillId="3" borderId="109" xfId="0" applyFont="1" applyFill="1" applyBorder="1"/>
    <xf numFmtId="0" fontId="4" fillId="5" borderId="74" xfId="0" applyFont="1" applyFill="1" applyBorder="1" applyAlignment="1">
      <alignment vertical="center"/>
    </xf>
    <xf numFmtId="0" fontId="205" fillId="3" borderId="0" xfId="0" applyFont="1" applyFill="1" applyAlignment="1">
      <alignment vertical="center"/>
    </xf>
    <xf numFmtId="0" fontId="149" fillId="8" borderId="0" xfId="0" applyFont="1" applyFill="1" applyAlignment="1">
      <alignment horizontal="center" vertical="center"/>
    </xf>
    <xf numFmtId="0" fontId="149" fillId="8" borderId="85" xfId="0" applyFont="1" applyFill="1" applyBorder="1" applyAlignment="1">
      <alignment horizontal="center" vertical="center"/>
    </xf>
    <xf numFmtId="0" fontId="18" fillId="8" borderId="146" xfId="0" applyFont="1" applyFill="1" applyBorder="1" applyAlignment="1">
      <alignment vertical="center"/>
    </xf>
    <xf numFmtId="0" fontId="3" fillId="0" borderId="147" xfId="0" applyFont="1" applyBorder="1"/>
    <xf numFmtId="0" fontId="194" fillId="7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206" fillId="0" borderId="49" xfId="0" applyFont="1" applyBorder="1" applyAlignment="1">
      <alignment horizontal="left" vertical="center"/>
    </xf>
    <xf numFmtId="14" fontId="18" fillId="3" borderId="73" xfId="0" applyNumberFormat="1" applyFont="1" applyFill="1" applyBorder="1" applyAlignment="1">
      <alignment horizontal="left" vertical="center"/>
    </xf>
    <xf numFmtId="0" fontId="214" fillId="3" borderId="0" xfId="0" applyFont="1" applyFill="1" applyAlignment="1">
      <alignment vertical="center"/>
    </xf>
    <xf numFmtId="0" fontId="19" fillId="3" borderId="17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1" fillId="3" borderId="4" xfId="0" applyFont="1" applyFill="1" applyBorder="1" applyAlignment="1">
      <alignment vertical="center"/>
    </xf>
    <xf numFmtId="0" fontId="111" fillId="3" borderId="17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0" fillId="3" borderId="148" xfId="0" applyFont="1" applyFill="1" applyBorder="1" applyAlignment="1">
      <alignment vertical="center"/>
    </xf>
    <xf numFmtId="0" fontId="3" fillId="0" borderId="149" xfId="0" applyFont="1" applyBorder="1"/>
    <xf numFmtId="0" fontId="3" fillId="0" borderId="150" xfId="0" applyFont="1" applyBorder="1"/>
    <xf numFmtId="0" fontId="50" fillId="8" borderId="110" xfId="0" applyFont="1" applyFill="1" applyBorder="1" applyAlignment="1">
      <alignment horizontal="center" vertical="center"/>
    </xf>
    <xf numFmtId="0" fontId="50" fillId="8" borderId="0" xfId="0" applyFont="1" applyFill="1" applyAlignment="1">
      <alignment horizontal="center" vertical="center"/>
    </xf>
    <xf numFmtId="0" fontId="16" fillId="7" borderId="151" xfId="0" applyFont="1" applyFill="1" applyBorder="1" applyAlignment="1">
      <alignment horizontal="left" vertical="center"/>
    </xf>
    <xf numFmtId="0" fontId="3" fillId="0" borderId="151" xfId="0" applyFont="1" applyBorder="1"/>
    <xf numFmtId="0" fontId="210" fillId="3" borderId="108" xfId="0" applyFont="1" applyFill="1" applyBorder="1" applyAlignment="1">
      <alignment horizontal="left" vertical="center"/>
    </xf>
    <xf numFmtId="0" fontId="18" fillId="3" borderId="78" xfId="0" applyFont="1" applyFill="1" applyBorder="1" applyAlignment="1">
      <alignment vertical="center" wrapText="1"/>
    </xf>
    <xf numFmtId="0" fontId="16" fillId="3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211" fillId="8" borderId="0" xfId="0" applyFont="1" applyFill="1" applyAlignment="1">
      <alignment horizontal="left" vertical="center"/>
    </xf>
    <xf numFmtId="0" fontId="212" fillId="3" borderId="110" xfId="0" applyFont="1" applyFill="1" applyBorder="1" applyAlignment="1">
      <alignment vertical="center" wrapText="1"/>
    </xf>
    <xf numFmtId="0" fontId="200" fillId="3" borderId="0" xfId="0" applyFont="1" applyFill="1" applyAlignment="1">
      <alignment horizontal="center" vertical="center"/>
    </xf>
    <xf numFmtId="0" fontId="68" fillId="5" borderId="23" xfId="0" applyFont="1" applyFill="1" applyBorder="1" applyAlignment="1">
      <alignment horizontal="center" vertical="center" wrapText="1"/>
    </xf>
    <xf numFmtId="10" fontId="35" fillId="5" borderId="23" xfId="0" applyNumberFormat="1" applyFont="1" applyFill="1" applyBorder="1" applyAlignment="1">
      <alignment wrapText="1"/>
    </xf>
    <xf numFmtId="0" fontId="191" fillId="5" borderId="28" xfId="0" applyFont="1" applyFill="1" applyBorder="1"/>
    <xf numFmtId="0" fontId="6" fillId="3" borderId="0" xfId="0" applyFont="1" applyFill="1" applyAlignment="1">
      <alignment vertical="center" wrapText="1"/>
    </xf>
    <xf numFmtId="0" fontId="187" fillId="3" borderId="0" xfId="0" applyFont="1" applyFill="1" applyAlignment="1">
      <alignment horizontal="left" vertical="center"/>
    </xf>
    <xf numFmtId="0" fontId="187" fillId="5" borderId="0" xfId="0" applyFont="1" applyFill="1" applyAlignment="1">
      <alignment horizontal="left" vertical="center"/>
    </xf>
    <xf numFmtId="0" fontId="41" fillId="8" borderId="0" xfId="0" applyFont="1" applyFill="1" applyAlignment="1">
      <alignment horizontal="center" vertical="center"/>
    </xf>
    <xf numFmtId="0" fontId="187" fillId="5" borderId="23" xfId="0" applyFont="1" applyFill="1" applyBorder="1" applyAlignment="1">
      <alignment horizontal="left" vertical="center"/>
    </xf>
    <xf numFmtId="0" fontId="16" fillId="7" borderId="86" xfId="0" applyFont="1" applyFill="1" applyBorder="1" applyAlignment="1">
      <alignment horizontal="left" vertical="center"/>
    </xf>
    <xf numFmtId="0" fontId="215" fillId="8" borderId="0" xfId="0" applyFont="1" applyFill="1" applyAlignment="1">
      <alignment vertical="center"/>
    </xf>
    <xf numFmtId="0" fontId="99" fillId="8" borderId="22" xfId="0" applyFont="1" applyFill="1" applyBorder="1" applyAlignment="1">
      <alignment horizontal="center" vertical="center"/>
    </xf>
    <xf numFmtId="0" fontId="66" fillId="3" borderId="17" xfId="0" applyFont="1" applyFill="1" applyBorder="1" applyAlignment="1">
      <alignment vertical="center" wrapText="1"/>
    </xf>
    <xf numFmtId="0" fontId="217" fillId="3" borderId="6" xfId="0" applyFont="1" applyFill="1" applyBorder="1" applyAlignment="1">
      <alignment vertical="center"/>
    </xf>
    <xf numFmtId="0" fontId="218" fillId="20" borderId="154" xfId="0" applyFont="1" applyFill="1" applyBorder="1" applyAlignment="1">
      <alignment horizontal="center" vertical="center"/>
    </xf>
    <xf numFmtId="0" fontId="3" fillId="0" borderId="155" xfId="0" applyFont="1" applyBorder="1"/>
    <xf numFmtId="0" fontId="3" fillId="0" borderId="156" xfId="0" applyFont="1" applyBorder="1"/>
    <xf numFmtId="0" fontId="4" fillId="5" borderId="157" xfId="0" applyFont="1" applyFill="1" applyBorder="1" applyAlignment="1">
      <alignment vertical="center"/>
    </xf>
    <xf numFmtId="0" fontId="3" fillId="0" borderId="158" xfId="0" applyFont="1" applyBorder="1"/>
    <xf numFmtId="0" fontId="3" fillId="0" borderId="159" xfId="0" applyFont="1" applyBorder="1"/>
    <xf numFmtId="0" fontId="161" fillId="3" borderId="22" xfId="0" applyFont="1" applyFill="1" applyBorder="1"/>
    <xf numFmtId="0" fontId="217" fillId="5" borderId="0" xfId="0" applyFont="1" applyFill="1" applyAlignment="1">
      <alignment horizontal="center" vertical="center"/>
    </xf>
    <xf numFmtId="0" fontId="56" fillId="13" borderId="6" xfId="0" applyFont="1" applyFill="1" applyBorder="1" applyAlignment="1">
      <alignment horizontal="center" vertical="center" wrapText="1"/>
    </xf>
    <xf numFmtId="0" fontId="217" fillId="3" borderId="15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323850" cy="38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uporteklickpages.zendesk.com/hc/pt-br/articles/9365448473229-Como-integrar-o-Send-com-o-Pages" TargetMode="External"/><Relationship Id="rId13" Type="http://schemas.openxmlformats.org/officeDocument/2006/relationships/hyperlink" Target="https://hotmart.com/pt-BR/club/am-insider/products/6130002/content/97BgpX6xOp" TargetMode="External"/><Relationship Id="rId18" Type="http://schemas.openxmlformats.org/officeDocument/2006/relationships/hyperlink" Target="https://hotmart.com/pt-BR/club/am-insider/products/6130002/content/R4jbMy9V4a" TargetMode="External"/><Relationship Id="rId3" Type="http://schemas.openxmlformats.org/officeDocument/2006/relationships/hyperlink" Target="https://hotmart.com/pt-BR/club/am-insider/products/6130002/content/3eaQBP8keg" TargetMode="External"/><Relationship Id="rId21" Type="http://schemas.openxmlformats.org/officeDocument/2006/relationships/hyperlink" Target="https://hotmart.com/pt-BR/club/am-insider/products/6130002/content/97BgpXR2Op" TargetMode="External"/><Relationship Id="rId7" Type="http://schemas.openxmlformats.org/officeDocument/2006/relationships/hyperlink" Target="https://hotmart.com/pt-BR/club/am-insider/products/6130002/content/R4jbq2wA4a" TargetMode="External"/><Relationship Id="rId12" Type="http://schemas.openxmlformats.org/officeDocument/2006/relationships/hyperlink" Target="https://hotmart.com/pt-BR/club/am-insider/products/6130002/content/k7Q1rdpx7y" TargetMode="External"/><Relationship Id="rId17" Type="http://schemas.openxmlformats.org/officeDocument/2006/relationships/hyperlink" Target="https://hotmart.com/pt-BR/club/am-insider/products/6130002/content/R4jbMy9V4a" TargetMode="External"/><Relationship Id="rId2" Type="http://schemas.openxmlformats.org/officeDocument/2006/relationships/hyperlink" Target="https://hotmart.com/pt-BR/club/am-insider/products/6130002/content/oODgEj2x7P" TargetMode="External"/><Relationship Id="rId16" Type="http://schemas.openxmlformats.org/officeDocument/2006/relationships/hyperlink" Target="https://hotmart.com/pt-BR/club/am-insider/products/6130002/content/97BgqMdaOp" TargetMode="External"/><Relationship Id="rId20" Type="http://schemas.openxmlformats.org/officeDocument/2006/relationships/hyperlink" Target="https://hotmart.com/pt-BR/club/am-insider/products/6130002/content/BOn0bKXzeR" TargetMode="External"/><Relationship Id="rId1" Type="http://schemas.openxmlformats.org/officeDocument/2006/relationships/hyperlink" Target="https://hotmart.com/pt-BR/club/am-insider/products/6130002/content/PeAg8qMPOW" TargetMode="External"/><Relationship Id="rId6" Type="http://schemas.openxmlformats.org/officeDocument/2006/relationships/hyperlink" Target="https://hotmart.com/pt-BR/club/am-insider/products/6130002/content/b4K9JA0N7X?track=zK4k0vMoeY" TargetMode="External"/><Relationship Id="rId11" Type="http://schemas.openxmlformats.org/officeDocument/2006/relationships/hyperlink" Target="https://suporteklickpages.zendesk.com/hc/pt-br/articles/10000248676621-O-que-%C3%A9-e-como-integrar-a-Gest%C3%A3o-Autom%C3%A1tica-de-Contatos-Listboss-" TargetMode="External"/><Relationship Id="rId24" Type="http://schemas.openxmlformats.org/officeDocument/2006/relationships/hyperlink" Target="https://hotmart.com/pt-BR/club/am-insider/products/6130002/content/EOg2xj9b76" TargetMode="External"/><Relationship Id="rId5" Type="http://schemas.openxmlformats.org/officeDocument/2006/relationships/hyperlink" Target="https://hotmart.com/pt-BR/club/am-insider/products/6130002/content/ROxVq6mKeD" TargetMode="External"/><Relationship Id="rId15" Type="http://schemas.openxmlformats.org/officeDocument/2006/relationships/hyperlink" Target="https://hotmart.com/pt-BR/club/am-insider/products/6130002/content/97BgqMdaOp" TargetMode="External"/><Relationship Id="rId23" Type="http://schemas.openxmlformats.org/officeDocument/2006/relationships/hyperlink" Target="https://hotmart.com/pt-BR/club/am-insider/products/6130002/content/Me1vmRMw7Y" TargetMode="External"/><Relationship Id="rId10" Type="http://schemas.openxmlformats.org/officeDocument/2006/relationships/hyperlink" Target="https://hotmart.com/pt-br/blog/sequencia-de-emails-automatizada" TargetMode="External"/><Relationship Id="rId19" Type="http://schemas.openxmlformats.org/officeDocument/2006/relationships/hyperlink" Target="https://hotmart.com/pt-BR/club/am-insider/products/6130002/content/Z72Rmnbq7N" TargetMode="External"/><Relationship Id="rId4" Type="http://schemas.openxmlformats.org/officeDocument/2006/relationships/hyperlink" Target="https://hotmart.com/pt-BR/club/am-insider/products/6130002/content/z7rBNrA27j" TargetMode="External"/><Relationship Id="rId9" Type="http://schemas.openxmlformats.org/officeDocument/2006/relationships/hyperlink" Target="https://suporteklickpages.zendesk.com/hc/pt-br/articles/9365448473229-Como-integrar-o-Send-com-o-Pages" TargetMode="External"/><Relationship Id="rId14" Type="http://schemas.openxmlformats.org/officeDocument/2006/relationships/hyperlink" Target="https://hotmart.com/pt-BR/club/am-insider/products/6130002/content/BOn0bKYzeR" TargetMode="External"/><Relationship Id="rId22" Type="http://schemas.openxmlformats.org/officeDocument/2006/relationships/hyperlink" Target="https://hotmart.com/pt-BR/club/am-insider/products/6130002/content/oODgpyjW7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hotmart.com/pt-BR/club/am-insider/products/6130002/content/2OMJAXK146" TargetMode="External"/><Relationship Id="rId2" Type="http://schemas.openxmlformats.org/officeDocument/2006/relationships/hyperlink" Target="https://hotmart.com/pt-BR/club/am-insider/products/6130002/content/M7G9bwd94w" TargetMode="External"/><Relationship Id="rId1" Type="http://schemas.openxmlformats.org/officeDocument/2006/relationships/hyperlink" Target="https://hotmart.com/pt-BR/club/am-insider/products/6130002/content/NOwQyD3Me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hotmart.com/pt-BR/club/am-insider/products/6130002/content/V7yx9WEqeJ" TargetMode="External"/><Relationship Id="rId3" Type="http://schemas.openxmlformats.org/officeDocument/2006/relationships/hyperlink" Target="https://hotmart.com/pt-BR/club/am-insider/products/6130002/content/94J9p0MdOg" TargetMode="External"/><Relationship Id="rId7" Type="http://schemas.openxmlformats.org/officeDocument/2006/relationships/hyperlink" Target="https://hotmart.com/pt-BR/club/am-insider/products/6130002/content/y4P9Dgrxex" TargetMode="External"/><Relationship Id="rId2" Type="http://schemas.openxmlformats.org/officeDocument/2006/relationships/hyperlink" Target="https://hotmart.com/pt-BR/club/am-insider/products/6130002/content/y4bVRL3P4R" TargetMode="External"/><Relationship Id="rId1" Type="http://schemas.openxmlformats.org/officeDocument/2006/relationships/hyperlink" Target="https://hotmart.com/pt-BR/club/am-insider/products/6130002/content/M7G9pg0V4w" TargetMode="External"/><Relationship Id="rId6" Type="http://schemas.openxmlformats.org/officeDocument/2006/relationships/hyperlink" Target="https://hotmart.com/pt-BR/club/am-insider/products/6130002/content/37d8aZXX7L" TargetMode="External"/><Relationship Id="rId5" Type="http://schemas.openxmlformats.org/officeDocument/2006/relationships/hyperlink" Target="https://hotmart.com/pt-BR/club/am-insider/products/6130002/content/k45QmVyN4l" TargetMode="External"/><Relationship Id="rId4" Type="http://schemas.openxmlformats.org/officeDocument/2006/relationships/hyperlink" Target="https://hotmart.com/pt-BR/club/am-insider/products/6130002/content/gOpb2NqXeJ" TargetMode="External"/><Relationship Id="rId9" Type="http://schemas.openxmlformats.org/officeDocument/2006/relationships/hyperlink" Target="https://hotmart.com/pt-br/blog/blog-de-lacamento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hotmart.com/pt-br/blog/sequencia-de-emails-automatizada" TargetMode="External"/><Relationship Id="rId13" Type="http://schemas.openxmlformats.org/officeDocument/2006/relationships/hyperlink" Target="https://help.hotmart.com/pt-BR/article/Como-cadastrar-meu-produto-/215828518" TargetMode="External"/><Relationship Id="rId18" Type="http://schemas.openxmlformats.org/officeDocument/2006/relationships/hyperlink" Target="https://membros.flinsider.com.br/c/cursos/eSrjqg?lessonSlug=MQiD0P" TargetMode="External"/><Relationship Id="rId3" Type="http://schemas.openxmlformats.org/officeDocument/2006/relationships/hyperlink" Target="https://membros.flinsider.com.br/c/cursos/B7g7gx?lessonSlug=TFPI4K" TargetMode="External"/><Relationship Id="rId21" Type="http://schemas.openxmlformats.org/officeDocument/2006/relationships/hyperlink" Target="https://membros.flinsider.com.br/c/cursos/eSrjqg?lessonSlug=1fXtr1" TargetMode="External"/><Relationship Id="rId7" Type="http://schemas.openxmlformats.org/officeDocument/2006/relationships/hyperlink" Target="https://suporteklickpages.zendesk.com/hc/pt-br/articles/9365448473229-Como-integrar-o-Send-com-o-Pages" TargetMode="External"/><Relationship Id="rId12" Type="http://schemas.openxmlformats.org/officeDocument/2006/relationships/hyperlink" Target="https://suporteklickpages.zendesk.com/hc/pt-br/articles/10000248676621-O-que-%C3%A9-e-como-integrar-a-Gest%C3%A3o-Autom%C3%A1tica-de-Contatos-Listboss-" TargetMode="External"/><Relationship Id="rId17" Type="http://schemas.openxmlformats.org/officeDocument/2006/relationships/hyperlink" Target="https://membros.flinsider.com.br/c/cursos/SnWPI5?lessonSlug=4J6M73" TargetMode="External"/><Relationship Id="rId2" Type="http://schemas.openxmlformats.org/officeDocument/2006/relationships/hyperlink" Target="https://membros.flinsider.com.br/c/cursos/SnWPI5?lessonSlug=rjgHXv" TargetMode="External"/><Relationship Id="rId16" Type="http://schemas.openxmlformats.org/officeDocument/2006/relationships/hyperlink" Target="https://membros.flinsider.com.br/c/cursos/g8Dz0B?lessonSlug=8mzhde" TargetMode="External"/><Relationship Id="rId20" Type="http://schemas.openxmlformats.org/officeDocument/2006/relationships/hyperlink" Target="https://membros.flinsider.com.br/c/cursos/VpCB8T?lessonSlug=jT73tS" TargetMode="External"/><Relationship Id="rId1" Type="http://schemas.openxmlformats.org/officeDocument/2006/relationships/hyperlink" Target="https://faq.whatsapp.com/438859978317289/?helpref=search&amp;cms_platform=web&amp;locale=pt_BR" TargetMode="External"/><Relationship Id="rId6" Type="http://schemas.openxmlformats.org/officeDocument/2006/relationships/hyperlink" Target="https://suporteklickpages.zendesk.com/hc/pt-br/articles/9365448473229-Como-integrar-o-Send-com-o-Pages" TargetMode="External"/><Relationship Id="rId11" Type="http://schemas.openxmlformats.org/officeDocument/2006/relationships/hyperlink" Target="https://docs.google.com/document/d/1pwqGd2hiCYGhyritci9Nn1G6OB7L6E9m/edit?usp=sharing&amp;ouid=105907954884235295972&amp;rtpof=true&amp;sd=true" TargetMode="External"/><Relationship Id="rId24" Type="http://schemas.openxmlformats.org/officeDocument/2006/relationships/comments" Target="../comments2.xml"/><Relationship Id="rId5" Type="http://schemas.openxmlformats.org/officeDocument/2006/relationships/hyperlink" Target="https://support.google.com/youtube/answer/2474026?co=GENIE.Platform%3DDesktop&amp;hl=pt-BR&amp;oco=0" TargetMode="External"/><Relationship Id="rId15" Type="http://schemas.openxmlformats.org/officeDocument/2006/relationships/hyperlink" Target="https://membros.flinsider.com.br/c/cursos/B7g7gx?lessonSlug=9CzxAm" TargetMode="External"/><Relationship Id="rId23" Type="http://schemas.openxmlformats.org/officeDocument/2006/relationships/vmlDrawing" Target="../drawings/vmlDrawing2.vml"/><Relationship Id="rId10" Type="http://schemas.openxmlformats.org/officeDocument/2006/relationships/hyperlink" Target="https://docs.google.com/forms/d/e/1FAIpQLSf2gfqlMFcNogIS13B6s08ZDztOXuqIzYJsnxFBYywRfNtv7w/viewform" TargetMode="External"/><Relationship Id="rId19" Type="http://schemas.openxmlformats.org/officeDocument/2006/relationships/hyperlink" Target="https://membros.flinsider.com.br/c/cursos/RZyJsU?lessonSlug=GzDG1A" TargetMode="External"/><Relationship Id="rId4" Type="http://schemas.openxmlformats.org/officeDocument/2006/relationships/hyperlink" Target="https://flportal.formuladelancamento.com.br/class/comoapontardominiohotmartpages134247" TargetMode="External"/><Relationship Id="rId9" Type="http://schemas.openxmlformats.org/officeDocument/2006/relationships/hyperlink" Target="https://docs.google.com/document/d/1v5sn79tVvm9mudapAqWahE3MCvTR03IV/edit?usp=sharing&amp;ouid=105907954884235295972&amp;rtpof=true&amp;sd=true" TargetMode="External"/><Relationship Id="rId14" Type="http://schemas.openxmlformats.org/officeDocument/2006/relationships/hyperlink" Target="https://help.hotmart.com/pt-BR/article/como-enviar-emails-de-boas-vindas-para-meus-novos-assinantes-/360060556472" TargetMode="External"/><Relationship Id="rId22" Type="http://schemas.openxmlformats.org/officeDocument/2006/relationships/hyperlink" Target="https://membros.flinsider.com.br/c/cursos/eSrjqg?lessonSlug=ZyPbCJ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suporteklickpages.zendesk.com/hc/pt-br/articles/10000248676621-O-que-%C3%A9-e-como-integrar-a-Gest%C3%A3o-Autom%C3%A1tica-de-Contatos-Listboss-" TargetMode="External"/><Relationship Id="rId1" Type="http://schemas.openxmlformats.org/officeDocument/2006/relationships/hyperlink" Target="https://hotmart.com/pt-BR/club/am-insider/products/6130002/content/Z72RmD8J7N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hotmart.com/pt-BR/club/am-insider/products/6130002/content/k7Q1rYbx7y?track=Go4E0N1dOz" TargetMode="External"/><Relationship Id="rId1" Type="http://schemas.openxmlformats.org/officeDocument/2006/relationships/hyperlink" Target="https://hotmart.com/pt-BR/club/am-insider/products/6130002/content/meL9A6Pj7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fl-insider.circle.so/c/debriefing/" TargetMode="External"/><Relationship Id="rId2" Type="http://schemas.openxmlformats.org/officeDocument/2006/relationships/hyperlink" Target="https://www.youtube.com/watch?v=ybQd9cfcsUc" TargetMode="External"/><Relationship Id="rId1" Type="http://schemas.openxmlformats.org/officeDocument/2006/relationships/hyperlink" Target="https://faq.whatsapp.com/android/chats/how-to-save-your-chat-history/?lang=pt_br" TargetMode="External"/><Relationship Id="rId4" Type="http://schemas.openxmlformats.org/officeDocument/2006/relationships/hyperlink" Target="https://fl-insider.circle.so/c/criativos-criativ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DAF8"/>
    <outlinePr summaryBelow="0" summaryRight="0"/>
  </sheetPr>
  <dimension ref="A1:E68"/>
  <sheetViews>
    <sheetView tabSelected="1" workbookViewId="0">
      <pane ySplit="1" topLeftCell="A2" activePane="bottomLeft" state="frozen"/>
      <selection pane="bottomLeft" activeCell="B3" sqref="B3:C3"/>
    </sheetView>
  </sheetViews>
  <sheetFormatPr defaultColWidth="12.59765625" defaultRowHeight="15.75" customHeight="1"/>
  <cols>
    <col min="1" max="1" width="4.3984375" customWidth="1"/>
    <col min="2" max="2" width="4.265625" customWidth="1"/>
    <col min="3" max="3" width="13.86328125" customWidth="1"/>
    <col min="4" max="4" width="116.265625" customWidth="1"/>
    <col min="5" max="5" width="4.3984375" customWidth="1"/>
  </cols>
  <sheetData>
    <row r="1" spans="1:5" ht="97.5" customHeight="1">
      <c r="A1" s="1"/>
      <c r="B1" s="362"/>
      <c r="C1" s="339"/>
      <c r="D1" s="340"/>
      <c r="E1" s="1"/>
    </row>
    <row r="2" spans="1:5" ht="11.25" customHeight="1">
      <c r="A2" s="1"/>
      <c r="B2" s="363"/>
      <c r="C2" s="364"/>
      <c r="D2" s="365"/>
      <c r="E2" s="1"/>
    </row>
    <row r="3" spans="1:5" ht="18" customHeight="1">
      <c r="A3" s="1"/>
      <c r="B3" s="366" t="s">
        <v>0</v>
      </c>
      <c r="C3" s="367"/>
      <c r="D3" s="2"/>
      <c r="E3" s="1"/>
    </row>
    <row r="4" spans="1:5" ht="18" customHeight="1">
      <c r="A4" s="1"/>
      <c r="B4" s="368" t="s">
        <v>1</v>
      </c>
      <c r="C4" s="369"/>
      <c r="D4" s="3"/>
      <c r="E4" s="1"/>
    </row>
    <row r="5" spans="1:5" ht="18" customHeight="1">
      <c r="A5" s="1"/>
      <c r="B5" s="366" t="s">
        <v>2</v>
      </c>
      <c r="C5" s="367"/>
      <c r="D5" s="2"/>
      <c r="E5" s="1"/>
    </row>
    <row r="6" spans="1:5" ht="18" customHeight="1">
      <c r="A6" s="1"/>
      <c r="B6" s="370" t="s">
        <v>3</v>
      </c>
      <c r="C6" s="371"/>
      <c r="D6" s="4">
        <v>45663</v>
      </c>
      <c r="E6" s="1"/>
    </row>
    <row r="7" spans="1:5" ht="18" customHeight="1">
      <c r="A7" s="1"/>
      <c r="B7" s="366" t="s">
        <v>4</v>
      </c>
      <c r="C7" s="367"/>
      <c r="D7" s="5">
        <v>45712</v>
      </c>
      <c r="E7" s="1"/>
    </row>
    <row r="8" spans="1:5" ht="12.75" customHeight="1">
      <c r="A8" s="1"/>
      <c r="B8" s="6"/>
      <c r="C8" s="6"/>
      <c r="D8" s="7" t="s">
        <v>5</v>
      </c>
      <c r="E8" s="1"/>
    </row>
    <row r="9" spans="1:5" ht="11.25" customHeight="1">
      <c r="A9" s="1"/>
      <c r="B9" s="372"/>
      <c r="C9" s="353"/>
      <c r="D9" s="360"/>
      <c r="E9" s="1"/>
    </row>
    <row r="10" spans="1:5" ht="12.75">
      <c r="A10" s="8"/>
      <c r="B10" s="8"/>
      <c r="C10" s="8"/>
      <c r="D10" s="8"/>
      <c r="E10" s="8"/>
    </row>
    <row r="11" spans="1:5" ht="13.9">
      <c r="A11" s="8"/>
      <c r="B11" s="373" t="s">
        <v>6</v>
      </c>
      <c r="C11" s="374"/>
      <c r="D11" s="375"/>
      <c r="E11" s="1"/>
    </row>
    <row r="12" spans="1:5" ht="6" customHeight="1">
      <c r="A12" s="8"/>
      <c r="B12" s="376">
        <f>(COUNTIF('PRÉ-REQUISITOS'!B25:B68,TRUE)+COUNTIF('CLI e AI'!B47:B68,TRUE)+COUNTIF(Lançamento!B25:B68,TRUE)+COUNTIF('Pós-Lançamento'!B20:B68,TRUE))/165</f>
        <v>0</v>
      </c>
      <c r="C12" s="9"/>
      <c r="D12" s="9"/>
      <c r="E12" s="1"/>
    </row>
    <row r="13" spans="1:5" ht="6" customHeight="1">
      <c r="A13" s="8"/>
      <c r="B13" s="377"/>
      <c r="C13" s="379" t="str">
        <f ca="1">IFERROR(__xludf.DUMMYFUNCTION("SPARKLINE(B12,{""charttype"",""bar"";""color1"",""#38a036"";""max"",1})"),"")</f>
        <v/>
      </c>
      <c r="D13" s="375"/>
      <c r="E13" s="1"/>
    </row>
    <row r="14" spans="1:5" ht="6" customHeight="1">
      <c r="A14" s="8"/>
      <c r="B14" s="378"/>
      <c r="C14" s="9"/>
      <c r="D14" s="9"/>
      <c r="E14" s="8"/>
    </row>
    <row r="15" spans="1:5" ht="12.75">
      <c r="A15" s="8"/>
      <c r="B15" s="8"/>
      <c r="C15" s="8"/>
      <c r="D15" s="8"/>
      <c r="E15" s="8"/>
    </row>
    <row r="16" spans="1:5" ht="31.5" customHeight="1">
      <c r="A16" s="380" t="s">
        <v>7</v>
      </c>
      <c r="B16" s="374"/>
      <c r="C16" s="374"/>
      <c r="D16" s="374"/>
      <c r="E16" s="375"/>
    </row>
    <row r="17" spans="1:5" ht="18.75" customHeight="1">
      <c r="A17" s="1"/>
      <c r="B17" s="381"/>
      <c r="C17" s="339"/>
      <c r="D17" s="340"/>
      <c r="E17" s="1"/>
    </row>
    <row r="18" spans="1:5" ht="26.25" customHeight="1">
      <c r="A18" s="1"/>
      <c r="B18" s="10"/>
      <c r="C18" s="382" t="s">
        <v>8</v>
      </c>
      <c r="D18" s="360"/>
      <c r="E18" s="1"/>
    </row>
    <row r="19" spans="1:5" ht="18" customHeight="1">
      <c r="A19" s="1"/>
      <c r="B19" s="11" t="s">
        <v>9</v>
      </c>
      <c r="C19" s="383" t="s">
        <v>10</v>
      </c>
      <c r="D19" s="346"/>
      <c r="E19" s="1"/>
    </row>
    <row r="20" spans="1:5" ht="18" customHeight="1">
      <c r="A20" s="1"/>
      <c r="B20" s="11" t="s">
        <v>9</v>
      </c>
      <c r="C20" s="383" t="s">
        <v>11</v>
      </c>
      <c r="D20" s="346"/>
      <c r="E20" s="1"/>
    </row>
    <row r="21" spans="1:5" ht="18" customHeight="1">
      <c r="A21" s="1"/>
      <c r="B21" s="11" t="s">
        <v>9</v>
      </c>
      <c r="C21" s="383" t="s">
        <v>12</v>
      </c>
      <c r="D21" s="346"/>
      <c r="E21" s="1"/>
    </row>
    <row r="22" spans="1:5" ht="18" customHeight="1">
      <c r="A22" s="1"/>
      <c r="B22" s="11" t="s">
        <v>9</v>
      </c>
      <c r="C22" s="383" t="s">
        <v>13</v>
      </c>
      <c r="D22" s="346"/>
      <c r="E22" s="1"/>
    </row>
    <row r="23" spans="1:5" ht="18" customHeight="1">
      <c r="A23" s="1"/>
      <c r="B23" s="11" t="s">
        <v>9</v>
      </c>
      <c r="C23" s="383" t="s">
        <v>14</v>
      </c>
      <c r="D23" s="346"/>
      <c r="E23" s="1"/>
    </row>
    <row r="24" spans="1:5" ht="18" customHeight="1">
      <c r="A24" s="1"/>
      <c r="B24" s="11" t="s">
        <v>9</v>
      </c>
      <c r="C24" s="383" t="s">
        <v>15</v>
      </c>
      <c r="D24" s="346"/>
      <c r="E24" s="1"/>
    </row>
    <row r="25" spans="1:5" ht="18" customHeight="1">
      <c r="A25" s="1"/>
      <c r="B25" s="11" t="s">
        <v>9</v>
      </c>
      <c r="C25" s="383" t="s">
        <v>16</v>
      </c>
      <c r="D25" s="346"/>
      <c r="E25" s="1"/>
    </row>
    <row r="26" spans="1:5" ht="11.25" customHeight="1">
      <c r="A26" s="1"/>
      <c r="B26" s="12"/>
      <c r="C26" s="13"/>
      <c r="D26" s="14"/>
      <c r="E26" s="1"/>
    </row>
    <row r="27" spans="1:5" ht="15" customHeight="1">
      <c r="A27" s="1"/>
      <c r="B27" s="384"/>
      <c r="C27" s="339"/>
      <c r="D27" s="340"/>
      <c r="E27" s="1"/>
    </row>
    <row r="28" spans="1:5" ht="26.25" customHeight="1">
      <c r="A28" s="1"/>
      <c r="B28" s="385" t="str">
        <f>CONCATENATE("ETAPA DE PREPARAÇÃO de ", TEXT(SUMÁRIO!$D$6,"DD/MM"), " a ", TEXT(SUMÁRIO!$D$6+(((SUMÁRIO!$D$7-21)-SUMÁRIO!$D$6)*1)-1,"DD/MM"))</f>
        <v>ETAPA DE PREPARAÇÃO de 06/01 a 02/02</v>
      </c>
      <c r="C28" s="339"/>
      <c r="D28" s="340"/>
      <c r="E28" s="1"/>
    </row>
    <row r="29" spans="1:5" ht="12.75">
      <c r="A29" s="8"/>
      <c r="B29" s="355" t="s">
        <v>17</v>
      </c>
      <c r="C29" s="342"/>
      <c r="D29" s="343"/>
      <c r="E29" s="8"/>
    </row>
    <row r="30" spans="1:5" ht="18" customHeight="1">
      <c r="A30" s="15"/>
      <c r="B30" s="357" t="s">
        <v>18</v>
      </c>
      <c r="C30" s="345"/>
      <c r="D30" s="346"/>
      <c r="E30" s="15"/>
    </row>
    <row r="31" spans="1:5" ht="18" customHeight="1">
      <c r="A31" s="15"/>
      <c r="B31" s="344" t="s">
        <v>19</v>
      </c>
      <c r="C31" s="345"/>
      <c r="D31" s="346"/>
      <c r="E31" s="15"/>
    </row>
    <row r="32" spans="1:5" ht="18" customHeight="1">
      <c r="A32" s="15"/>
      <c r="B32" s="357" t="s">
        <v>20</v>
      </c>
      <c r="C32" s="348"/>
      <c r="D32" s="349"/>
      <c r="E32" s="15"/>
    </row>
    <row r="33" spans="1:5" ht="11.25" customHeight="1">
      <c r="A33" s="8"/>
      <c r="B33" s="386"/>
      <c r="C33" s="353"/>
      <c r="D33" s="360"/>
      <c r="E33" s="8"/>
    </row>
    <row r="34" spans="1:5" ht="18.75" customHeight="1">
      <c r="A34" s="1"/>
      <c r="B34" s="387"/>
      <c r="C34" s="353"/>
      <c r="D34" s="353"/>
      <c r="E34" s="1"/>
    </row>
    <row r="35" spans="1:5" ht="26.25" customHeight="1">
      <c r="A35" s="1"/>
      <c r="B35" s="385" t="str">
        <f>CONCATENATE("ETAPA DE CONSTRUÇÃO DE LISTA DE INSCRITOS (CLI) e AQUECIMENTO DE INSCRITOS (AI) - DE ", TEXT($D$7-21,"DD/MM"), " ATÉ ", TEXT($D$7-7,"DD/MM"))</f>
        <v>ETAPA DE CONSTRUÇÃO DE LISTA DE INSCRITOS (CLI) e AQUECIMENTO DE INSCRITOS (AI) - DE 03/02 ATÉ 17/02</v>
      </c>
      <c r="C35" s="339"/>
      <c r="D35" s="340"/>
      <c r="E35" s="1"/>
    </row>
    <row r="36" spans="1:5" ht="12.75">
      <c r="A36" s="8"/>
      <c r="B36" s="355" t="s">
        <v>21</v>
      </c>
      <c r="C36" s="342"/>
      <c r="D36" s="343"/>
      <c r="E36" s="8"/>
    </row>
    <row r="37" spans="1:5" ht="18" customHeight="1">
      <c r="A37" s="8"/>
      <c r="B37" s="356" t="s">
        <v>22</v>
      </c>
      <c r="C37" s="345"/>
      <c r="D37" s="346"/>
      <c r="E37" s="8"/>
    </row>
    <row r="38" spans="1:5" ht="18" customHeight="1">
      <c r="A38" s="8"/>
      <c r="B38" s="357" t="s">
        <v>23</v>
      </c>
      <c r="C38" s="345"/>
      <c r="D38" s="346"/>
      <c r="E38" s="8"/>
    </row>
    <row r="39" spans="1:5" ht="18" customHeight="1">
      <c r="A39" s="15"/>
      <c r="B39" s="344" t="s">
        <v>24</v>
      </c>
      <c r="C39" s="345"/>
      <c r="D39" s="346"/>
      <c r="E39" s="15"/>
    </row>
    <row r="40" spans="1:5" ht="18" customHeight="1">
      <c r="A40" s="8"/>
      <c r="B40" s="357" t="s">
        <v>25</v>
      </c>
      <c r="C40" s="345"/>
      <c r="D40" s="346"/>
      <c r="E40" s="8"/>
    </row>
    <row r="41" spans="1:5" ht="18" customHeight="1">
      <c r="A41" s="15"/>
      <c r="B41" s="344" t="s">
        <v>26</v>
      </c>
      <c r="C41" s="345"/>
      <c r="D41" s="346"/>
      <c r="E41" s="15"/>
    </row>
    <row r="42" spans="1:5" ht="18" customHeight="1">
      <c r="A42" s="8"/>
      <c r="B42" s="388" t="s">
        <v>27</v>
      </c>
      <c r="C42" s="353"/>
      <c r="D42" s="360"/>
      <c r="E42" s="8"/>
    </row>
    <row r="43" spans="1:5" ht="11.25" customHeight="1">
      <c r="A43" s="1"/>
      <c r="B43" s="389"/>
      <c r="C43" s="353"/>
      <c r="D43" s="353"/>
      <c r="E43" s="1"/>
    </row>
    <row r="44" spans="1:5" ht="18.75" customHeight="1">
      <c r="A44" s="1"/>
      <c r="B44" s="361"/>
      <c r="C44" s="353"/>
      <c r="D44" s="353"/>
      <c r="E44" s="1"/>
    </row>
    <row r="45" spans="1:5" ht="26.25" customHeight="1">
      <c r="A45" s="1"/>
      <c r="B45" s="390" t="str">
        <f>CONCATENATE("ETAPA DE PRÉ-LANÇAMENTO ", TEXT($D$7-7,"DD/MM"), " ATÉ ", TEXT($D$7-1,"DD/MM"), " (7 dias)")</f>
        <v>ETAPA DE PRÉ-LANÇAMENTO 17/02 ATÉ 23/02 (7 dias)</v>
      </c>
      <c r="C45" s="353"/>
      <c r="D45" s="353"/>
      <c r="E45" s="1"/>
    </row>
    <row r="46" spans="1:5" ht="18.75" customHeight="1">
      <c r="A46" s="1"/>
      <c r="B46" s="391" t="s">
        <v>28</v>
      </c>
      <c r="C46" s="353"/>
      <c r="D46" s="353"/>
      <c r="E46" s="1"/>
    </row>
    <row r="47" spans="1:5" ht="18.75" customHeight="1">
      <c r="A47" s="1"/>
      <c r="B47" s="391" t="s">
        <v>29</v>
      </c>
      <c r="C47" s="353"/>
      <c r="D47" s="353"/>
      <c r="E47" s="1"/>
    </row>
    <row r="48" spans="1:5" ht="18.75" customHeight="1">
      <c r="A48" s="1"/>
      <c r="B48" s="391" t="s">
        <v>30</v>
      </c>
      <c r="C48" s="353"/>
      <c r="D48" s="353"/>
      <c r="E48" s="1"/>
    </row>
    <row r="49" spans="1:5" ht="18" customHeight="1">
      <c r="A49" s="15"/>
      <c r="B49" s="356" t="s">
        <v>31</v>
      </c>
      <c r="C49" s="345"/>
      <c r="D49" s="346"/>
      <c r="E49" s="15"/>
    </row>
    <row r="50" spans="1:5" ht="18.75" customHeight="1">
      <c r="A50" s="1"/>
      <c r="B50" s="391" t="s">
        <v>32</v>
      </c>
      <c r="C50" s="353"/>
      <c r="D50" s="353"/>
      <c r="E50" s="1"/>
    </row>
    <row r="51" spans="1:5" ht="18.75" customHeight="1">
      <c r="A51" s="1"/>
      <c r="B51" s="391" t="s">
        <v>33</v>
      </c>
      <c r="C51" s="353"/>
      <c r="D51" s="353"/>
      <c r="E51" s="1"/>
    </row>
    <row r="52" spans="1:5" ht="11.25" customHeight="1">
      <c r="A52" s="1"/>
      <c r="B52" s="392"/>
      <c r="C52" s="353"/>
      <c r="D52" s="353"/>
      <c r="E52" s="1"/>
    </row>
    <row r="53" spans="1:5" ht="18.75" customHeight="1">
      <c r="A53" s="1"/>
      <c r="B53" s="387"/>
      <c r="C53" s="353"/>
      <c r="D53" s="353"/>
      <c r="E53" s="1"/>
    </row>
    <row r="54" spans="1:5" ht="26.25" customHeight="1">
      <c r="A54" s="1"/>
      <c r="B54" s="385" t="str">
        <f>CONCATENATE("ETAPA DE LANÇAMENTO - DE ", TEXT($D$7,"DD/MM"), " ATÉ ", TEXT($D$7+4,"DD/MM"))</f>
        <v>ETAPA DE LANÇAMENTO - DE 24/02 ATÉ 28/02</v>
      </c>
      <c r="C54" s="339"/>
      <c r="D54" s="340"/>
      <c r="E54" s="1"/>
    </row>
    <row r="55" spans="1:5" ht="12.75">
      <c r="A55" s="8"/>
      <c r="B55" s="355" t="s">
        <v>34</v>
      </c>
      <c r="C55" s="342"/>
      <c r="D55" s="343"/>
      <c r="E55" s="8"/>
    </row>
    <row r="56" spans="1:5" ht="18.75" customHeight="1">
      <c r="A56" s="8"/>
      <c r="B56" s="356" t="s">
        <v>35</v>
      </c>
      <c r="C56" s="345"/>
      <c r="D56" s="346"/>
      <c r="E56" s="8"/>
    </row>
    <row r="57" spans="1:5" ht="18.75" customHeight="1">
      <c r="A57" s="8"/>
      <c r="B57" s="357" t="s">
        <v>36</v>
      </c>
      <c r="C57" s="345"/>
      <c r="D57" s="346"/>
      <c r="E57" s="8"/>
    </row>
    <row r="58" spans="1:5" ht="18.75" customHeight="1">
      <c r="A58" s="15"/>
      <c r="B58" s="358" t="s">
        <v>37</v>
      </c>
      <c r="C58" s="345"/>
      <c r="D58" s="346"/>
      <c r="E58" s="15"/>
    </row>
    <row r="59" spans="1:5" ht="18.75" customHeight="1">
      <c r="A59" s="8"/>
      <c r="B59" s="357" t="s">
        <v>38</v>
      </c>
      <c r="C59" s="345"/>
      <c r="D59" s="346"/>
      <c r="E59" s="8"/>
    </row>
    <row r="60" spans="1:5" ht="11.25" customHeight="1">
      <c r="A60" s="8"/>
      <c r="B60" s="359"/>
      <c r="C60" s="353"/>
      <c r="D60" s="360"/>
      <c r="E60" s="8"/>
    </row>
    <row r="61" spans="1:5" ht="18.75" customHeight="1">
      <c r="A61" s="1"/>
      <c r="B61" s="361"/>
      <c r="C61" s="353"/>
      <c r="D61" s="353"/>
      <c r="E61" s="1"/>
    </row>
    <row r="62" spans="1:5" ht="26.25" customHeight="1">
      <c r="A62" s="1"/>
      <c r="B62" s="338" t="str">
        <f>CONCATENATE("ETAPA DE PÓS-LANÇAMENTO - DE ", TEXT($D$7+5,"DD/MM"), " ATÉ ", TEXT($D$7+7,"DD/MM"))</f>
        <v>ETAPA DE PÓS-LANÇAMENTO - DE 01/03 ATÉ 03/03</v>
      </c>
      <c r="C62" s="339"/>
      <c r="D62" s="340"/>
      <c r="E62" s="1"/>
    </row>
    <row r="63" spans="1:5" ht="12.75">
      <c r="A63" s="8"/>
      <c r="B63" s="341" t="s">
        <v>39</v>
      </c>
      <c r="C63" s="342"/>
      <c r="D63" s="343"/>
      <c r="E63" s="8"/>
    </row>
    <row r="64" spans="1:5" ht="18.75" customHeight="1">
      <c r="A64" s="8"/>
      <c r="B64" s="344" t="s">
        <v>40</v>
      </c>
      <c r="C64" s="345"/>
      <c r="D64" s="346"/>
      <c r="E64" s="8"/>
    </row>
    <row r="65" spans="1:5" ht="18.75" customHeight="1">
      <c r="A65" s="8"/>
      <c r="B65" s="347" t="s">
        <v>41</v>
      </c>
      <c r="C65" s="348"/>
      <c r="D65" s="349"/>
      <c r="E65" s="8"/>
    </row>
    <row r="66" spans="1:5" ht="18.75" customHeight="1">
      <c r="A66" s="8"/>
      <c r="B66" s="344" t="s">
        <v>42</v>
      </c>
      <c r="C66" s="350"/>
      <c r="D66" s="351"/>
      <c r="E66" s="8"/>
    </row>
    <row r="67" spans="1:5" ht="11.25" customHeight="1">
      <c r="A67" s="15"/>
      <c r="B67" s="352"/>
      <c r="C67" s="353"/>
      <c r="D67" s="353"/>
      <c r="E67" s="15"/>
    </row>
    <row r="68" spans="1:5" ht="26.25" customHeight="1">
      <c r="A68" s="18"/>
      <c r="B68" s="354"/>
      <c r="C68" s="339"/>
      <c r="D68" s="340"/>
      <c r="E68" s="18"/>
    </row>
  </sheetData>
  <mergeCells count="63">
    <mergeCell ref="B52:D52"/>
    <mergeCell ref="B53:D53"/>
    <mergeCell ref="B54:D54"/>
    <mergeCell ref="B47:D47"/>
    <mergeCell ref="B48:D48"/>
    <mergeCell ref="B49:D49"/>
    <mergeCell ref="B50:D50"/>
    <mergeCell ref="B51:D51"/>
    <mergeCell ref="B42:D42"/>
    <mergeCell ref="B43:D43"/>
    <mergeCell ref="B44:D44"/>
    <mergeCell ref="B45:D45"/>
    <mergeCell ref="B46:D46"/>
    <mergeCell ref="B37:D37"/>
    <mergeCell ref="B38:D38"/>
    <mergeCell ref="B39:D39"/>
    <mergeCell ref="B40:D40"/>
    <mergeCell ref="B41:D41"/>
    <mergeCell ref="B32:D32"/>
    <mergeCell ref="B33:D33"/>
    <mergeCell ref="B34:D34"/>
    <mergeCell ref="B35:D35"/>
    <mergeCell ref="B36:D36"/>
    <mergeCell ref="B27:D27"/>
    <mergeCell ref="B28:D28"/>
    <mergeCell ref="B29:D29"/>
    <mergeCell ref="B30:D30"/>
    <mergeCell ref="B31:D31"/>
    <mergeCell ref="C21:D21"/>
    <mergeCell ref="C22:D22"/>
    <mergeCell ref="C23:D23"/>
    <mergeCell ref="C24:D24"/>
    <mergeCell ref="C25:D25"/>
    <mergeCell ref="A16:E16"/>
    <mergeCell ref="B17:D17"/>
    <mergeCell ref="C18:D18"/>
    <mergeCell ref="C19:D19"/>
    <mergeCell ref="C20:D20"/>
    <mergeCell ref="B6:C6"/>
    <mergeCell ref="B7:C7"/>
    <mergeCell ref="B9:D9"/>
    <mergeCell ref="B11:D11"/>
    <mergeCell ref="B12:B14"/>
    <mergeCell ref="C13:D13"/>
    <mergeCell ref="B1:D1"/>
    <mergeCell ref="B2:D2"/>
    <mergeCell ref="B3:C3"/>
    <mergeCell ref="B4:C4"/>
    <mergeCell ref="B5:C5"/>
    <mergeCell ref="B67:D67"/>
    <mergeCell ref="B68:D68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DAF8"/>
    <outlinePr summaryBelow="0" summaryRight="0"/>
  </sheetPr>
  <dimension ref="A1:G127"/>
  <sheetViews>
    <sheetView workbookViewId="0">
      <pane ySplit="5" topLeftCell="A6" activePane="bottomLeft" state="frozen"/>
      <selection pane="bottomLeft" activeCell="B7" sqref="B7"/>
    </sheetView>
  </sheetViews>
  <sheetFormatPr defaultColWidth="12.59765625" defaultRowHeight="15.75" customHeight="1"/>
  <cols>
    <col min="1" max="1" width="4.3984375" customWidth="1"/>
    <col min="2" max="2" width="3.73046875" customWidth="1"/>
    <col min="3" max="3" width="61.1328125" customWidth="1"/>
    <col min="4" max="4" width="4.59765625" customWidth="1"/>
    <col min="5" max="5" width="3.73046875" customWidth="1"/>
    <col min="6" max="6" width="61.1328125" customWidth="1"/>
    <col min="7" max="7" width="4.3984375" customWidth="1"/>
  </cols>
  <sheetData>
    <row r="1" spans="1:7" ht="52.5" customHeight="1">
      <c r="A1" s="453" t="s">
        <v>43</v>
      </c>
      <c r="B1" s="339"/>
      <c r="C1" s="339"/>
      <c r="D1" s="339"/>
      <c r="E1" s="339"/>
      <c r="F1" s="339"/>
      <c r="G1" s="340"/>
    </row>
    <row r="2" spans="1:7" ht="12.75">
      <c r="A2" s="454" t="s">
        <v>44</v>
      </c>
      <c r="B2" s="339"/>
      <c r="C2" s="339"/>
      <c r="D2" s="339"/>
      <c r="E2" s="339"/>
      <c r="F2" s="339"/>
      <c r="G2" s="340"/>
    </row>
    <row r="3" spans="1:7" ht="6" customHeight="1">
      <c r="A3" s="19"/>
      <c r="B3" s="455">
        <f>(COUNTIF(B18:B127,TRUE)/50)</f>
        <v>0</v>
      </c>
      <c r="C3" s="20"/>
      <c r="D3" s="21"/>
      <c r="E3" s="21"/>
      <c r="F3" s="22"/>
      <c r="G3" s="23"/>
    </row>
    <row r="4" spans="1:7" ht="6" customHeight="1">
      <c r="A4" s="19"/>
      <c r="B4" s="456"/>
      <c r="C4" s="458" t="str">
        <f ca="1">IFERROR(__xludf.DUMMYFUNCTION("SPARKLINE(B3,{""charttype"",""bar"";""color1"",""#38a036"";""max"",1})"),"")</f>
        <v/>
      </c>
      <c r="D4" s="339"/>
      <c r="E4" s="339"/>
      <c r="F4" s="340"/>
      <c r="G4" s="25"/>
    </row>
    <row r="5" spans="1:7" ht="6" customHeight="1">
      <c r="A5" s="19"/>
      <c r="B5" s="457"/>
      <c r="C5" s="26"/>
      <c r="D5" s="26"/>
      <c r="E5" s="26"/>
      <c r="F5" s="24"/>
      <c r="G5" s="25"/>
    </row>
    <row r="6" spans="1:7" ht="21.75" customHeight="1">
      <c r="A6" s="27"/>
      <c r="B6" s="28"/>
      <c r="C6" s="28"/>
      <c r="D6" s="28"/>
      <c r="E6" s="28"/>
      <c r="F6" s="29"/>
      <c r="G6" s="27"/>
    </row>
    <row r="7" spans="1:7" ht="22.5" customHeight="1">
      <c r="A7" s="30"/>
      <c r="B7" s="31" t="s">
        <v>45</v>
      </c>
      <c r="C7" s="459" t="s">
        <v>46</v>
      </c>
      <c r="D7" s="353"/>
      <c r="E7" s="353"/>
      <c r="F7" s="353"/>
      <c r="G7" s="30"/>
    </row>
    <row r="8" spans="1:7" ht="18.75" customHeight="1">
      <c r="A8" s="30"/>
      <c r="B8" s="32"/>
      <c r="C8" s="33" t="s">
        <v>47</v>
      </c>
      <c r="D8" s="34" t="s">
        <v>48</v>
      </c>
      <c r="E8" s="460" t="s">
        <v>49</v>
      </c>
      <c r="F8" s="353"/>
      <c r="G8" s="30"/>
    </row>
    <row r="9" spans="1:7" ht="11.25" customHeight="1">
      <c r="A9" s="30"/>
      <c r="B9" s="461"/>
      <c r="C9" s="353"/>
      <c r="D9" s="353"/>
      <c r="E9" s="353"/>
      <c r="F9" s="353"/>
      <c r="G9" s="30"/>
    </row>
    <row r="10" spans="1:7" ht="18.75" customHeight="1">
      <c r="A10" s="30"/>
      <c r="B10" s="462" t="s">
        <v>50</v>
      </c>
      <c r="C10" s="402"/>
      <c r="D10" s="463" t="s">
        <v>48</v>
      </c>
      <c r="E10" s="37">
        <v>1</v>
      </c>
      <c r="F10" s="38" t="s">
        <v>51</v>
      </c>
      <c r="G10" s="30"/>
    </row>
    <row r="11" spans="1:7" ht="18.75" customHeight="1">
      <c r="A11" s="30"/>
      <c r="B11" s="353"/>
      <c r="C11" s="353"/>
      <c r="D11" s="353"/>
      <c r="E11" s="39">
        <v>2</v>
      </c>
      <c r="F11" s="38" t="s">
        <v>52</v>
      </c>
      <c r="G11" s="30"/>
    </row>
    <row r="12" spans="1:7" ht="18.75" customHeight="1">
      <c r="A12" s="30"/>
      <c r="B12" s="353"/>
      <c r="C12" s="353"/>
      <c r="D12" s="353"/>
      <c r="E12" s="40">
        <v>3</v>
      </c>
      <c r="F12" s="38" t="s">
        <v>53</v>
      </c>
      <c r="G12" s="30"/>
    </row>
    <row r="13" spans="1:7" ht="18.75" customHeight="1">
      <c r="A13" s="30"/>
      <c r="B13" s="353"/>
      <c r="C13" s="353"/>
      <c r="D13" s="353"/>
      <c r="E13" s="40">
        <v>4</v>
      </c>
      <c r="F13" s="38" t="s">
        <v>54</v>
      </c>
      <c r="G13" s="30"/>
    </row>
    <row r="14" spans="1:7" ht="18.75" customHeight="1">
      <c r="A14" s="30"/>
      <c r="B14" s="353"/>
      <c r="C14" s="353"/>
      <c r="D14" s="353"/>
      <c r="E14" s="40">
        <v>5</v>
      </c>
      <c r="F14" s="41" t="s">
        <v>55</v>
      </c>
      <c r="G14" s="30"/>
    </row>
    <row r="15" spans="1:7" ht="18.75" customHeight="1">
      <c r="A15" s="30"/>
      <c r="B15" s="353"/>
      <c r="C15" s="353"/>
      <c r="D15" s="353"/>
      <c r="E15" s="40">
        <v>6</v>
      </c>
      <c r="F15" s="38" t="s">
        <v>669</v>
      </c>
      <c r="G15" s="30"/>
    </row>
    <row r="16" spans="1:7" ht="11.25" customHeight="1">
      <c r="A16" s="30"/>
      <c r="B16" s="446"/>
      <c r="C16" s="353"/>
      <c r="D16" s="353"/>
      <c r="E16" s="353"/>
      <c r="F16" s="353"/>
      <c r="G16" s="30"/>
    </row>
    <row r="17" spans="1:7" ht="15" customHeight="1">
      <c r="A17" s="30"/>
      <c r="B17" s="447"/>
      <c r="C17" s="339"/>
      <c r="D17" s="339"/>
      <c r="E17" s="339"/>
      <c r="F17" s="340"/>
      <c r="G17" s="30"/>
    </row>
    <row r="18" spans="1:7" ht="26.25" customHeight="1">
      <c r="A18" s="30"/>
      <c r="B18" s="464" t="s">
        <v>56</v>
      </c>
      <c r="C18" s="353"/>
      <c r="D18" s="353"/>
      <c r="E18" s="353"/>
      <c r="F18" s="465"/>
      <c r="G18" s="30"/>
    </row>
    <row r="19" spans="1:7" ht="43.5" customHeight="1">
      <c r="A19" s="30"/>
      <c r="B19" s="466" t="s">
        <v>57</v>
      </c>
      <c r="C19" s="364"/>
      <c r="D19" s="364"/>
      <c r="E19" s="364"/>
      <c r="F19" s="365"/>
      <c r="G19" s="30"/>
    </row>
    <row r="20" spans="1:7" ht="18.75" customHeight="1">
      <c r="A20" s="30"/>
      <c r="B20" s="43"/>
      <c r="C20" s="43"/>
      <c r="D20" s="43"/>
      <c r="E20" s="43"/>
      <c r="F20" s="42"/>
      <c r="G20" s="30"/>
    </row>
    <row r="21" spans="1:7" ht="22.5" customHeight="1">
      <c r="A21" s="30"/>
      <c r="B21" s="467" t="s">
        <v>58</v>
      </c>
      <c r="C21" s="468"/>
      <c r="D21" s="468"/>
      <c r="E21" s="468"/>
      <c r="F21" s="469"/>
      <c r="G21" s="30"/>
    </row>
    <row r="22" spans="1:7" ht="18.75" customHeight="1">
      <c r="A22" s="30"/>
      <c r="B22" s="433" t="s">
        <v>59</v>
      </c>
      <c r="C22" s="353"/>
      <c r="D22" s="353"/>
      <c r="E22" s="353"/>
      <c r="F22" s="353"/>
      <c r="G22" s="30"/>
    </row>
    <row r="23" spans="1:7" ht="18.75" customHeight="1">
      <c r="A23" s="30"/>
      <c r="B23" s="44" t="s">
        <v>60</v>
      </c>
      <c r="C23" s="44"/>
      <c r="D23" s="470" t="s">
        <v>48</v>
      </c>
      <c r="E23" s="471"/>
      <c r="F23" s="45" t="s">
        <v>61</v>
      </c>
      <c r="G23" s="30"/>
    </row>
    <row r="24" spans="1:7" ht="11.25" customHeight="1">
      <c r="A24" s="30"/>
      <c r="B24" s="472"/>
      <c r="C24" s="353"/>
      <c r="D24" s="353"/>
      <c r="E24" s="353"/>
      <c r="F24" s="353"/>
      <c r="G24" s="30"/>
    </row>
    <row r="25" spans="1:7" ht="18.75" customHeight="1">
      <c r="A25" s="30"/>
      <c r="B25" s="47" t="b">
        <v>0</v>
      </c>
      <c r="C25" s="473" t="s">
        <v>62</v>
      </c>
      <c r="D25" s="414"/>
      <c r="E25" s="414"/>
      <c r="F25" s="415"/>
      <c r="G25" s="30"/>
    </row>
    <row r="26" spans="1:7" ht="18.75" customHeight="1">
      <c r="A26" s="30"/>
      <c r="B26" s="46"/>
      <c r="C26" s="409" t="s">
        <v>63</v>
      </c>
      <c r="D26" s="353"/>
      <c r="E26" s="353"/>
      <c r="F26" s="353"/>
      <c r="G26" s="30"/>
    </row>
    <row r="27" spans="1:7" ht="18.75" customHeight="1">
      <c r="A27" s="30"/>
      <c r="B27" s="47" t="b">
        <v>0</v>
      </c>
      <c r="C27" s="473" t="s">
        <v>64</v>
      </c>
      <c r="D27" s="414"/>
      <c r="E27" s="414"/>
      <c r="F27" s="415"/>
      <c r="G27" s="30"/>
    </row>
    <row r="28" spans="1:7" ht="18.75" customHeight="1">
      <c r="A28" s="30"/>
      <c r="B28" s="46"/>
      <c r="C28" s="409" t="s">
        <v>65</v>
      </c>
      <c r="D28" s="353"/>
      <c r="E28" s="353"/>
      <c r="F28" s="353"/>
      <c r="G28" s="30"/>
    </row>
    <row r="29" spans="1:7" ht="11.25" customHeight="1">
      <c r="A29" s="30"/>
      <c r="B29" s="472"/>
      <c r="C29" s="353"/>
      <c r="D29" s="353"/>
      <c r="E29" s="353"/>
      <c r="F29" s="474"/>
      <c r="G29" s="30"/>
    </row>
    <row r="30" spans="1:7" ht="22.5" customHeight="1">
      <c r="A30" s="30"/>
      <c r="B30" s="475" t="s">
        <v>66</v>
      </c>
      <c r="C30" s="364"/>
      <c r="D30" s="364"/>
      <c r="E30" s="364"/>
      <c r="F30" s="365"/>
      <c r="G30" s="30"/>
    </row>
    <row r="31" spans="1:7" ht="12.75">
      <c r="A31" s="30"/>
      <c r="B31" s="419" t="s">
        <v>67</v>
      </c>
      <c r="C31" s="364"/>
      <c r="D31" s="364"/>
      <c r="E31" s="364"/>
      <c r="F31" s="365"/>
      <c r="G31" s="30"/>
    </row>
    <row r="32" spans="1:7" ht="18.75" customHeight="1">
      <c r="A32" s="30"/>
      <c r="B32" s="476" t="s">
        <v>68</v>
      </c>
      <c r="C32" s="414"/>
      <c r="D32" s="471"/>
      <c r="E32" s="48" t="s">
        <v>48</v>
      </c>
      <c r="F32" s="45" t="s">
        <v>69</v>
      </c>
      <c r="G32" s="30"/>
    </row>
    <row r="33" spans="1:7" ht="11.25" customHeight="1">
      <c r="A33" s="30"/>
      <c r="B33" s="472"/>
      <c r="C33" s="353"/>
      <c r="D33" s="353"/>
      <c r="E33" s="353"/>
      <c r="F33" s="474"/>
      <c r="G33" s="30"/>
    </row>
    <row r="34" spans="1:7" ht="18.75" customHeight="1">
      <c r="A34" s="30"/>
      <c r="B34" s="477" t="s">
        <v>70</v>
      </c>
      <c r="C34" s="364"/>
      <c r="D34" s="364"/>
      <c r="E34" s="364"/>
      <c r="F34" s="365"/>
      <c r="G34" s="30"/>
    </row>
    <row r="35" spans="1:7" ht="18.75" customHeight="1">
      <c r="A35" s="30"/>
      <c r="B35" s="49" t="b">
        <v>0</v>
      </c>
      <c r="C35" s="478" t="s">
        <v>71</v>
      </c>
      <c r="D35" s="411"/>
      <c r="E35" s="411"/>
      <c r="F35" s="412"/>
      <c r="G35" s="30"/>
    </row>
    <row r="36" spans="1:7" ht="18.75" customHeight="1">
      <c r="A36" s="30"/>
      <c r="B36" s="50" t="b">
        <v>0</v>
      </c>
      <c r="C36" s="479" t="s">
        <v>72</v>
      </c>
      <c r="D36" s="414"/>
      <c r="E36" s="414"/>
      <c r="F36" s="415"/>
      <c r="G36" s="30"/>
    </row>
    <row r="37" spans="1:7" ht="18.75" customHeight="1">
      <c r="A37" s="30"/>
      <c r="B37" s="50" t="b">
        <v>0</v>
      </c>
      <c r="C37" s="479" t="s">
        <v>73</v>
      </c>
      <c r="D37" s="414"/>
      <c r="E37" s="414"/>
      <c r="F37" s="415"/>
      <c r="G37" s="30"/>
    </row>
    <row r="38" spans="1:7" ht="12.75">
      <c r="A38" s="30"/>
      <c r="B38" s="50" t="b">
        <v>0</v>
      </c>
      <c r="C38" s="479" t="s">
        <v>74</v>
      </c>
      <c r="D38" s="414"/>
      <c r="E38" s="414"/>
      <c r="F38" s="415"/>
      <c r="G38" s="30"/>
    </row>
    <row r="39" spans="1:7" ht="12.75">
      <c r="A39" s="30"/>
      <c r="B39" s="50" t="b">
        <v>0</v>
      </c>
      <c r="C39" s="479" t="s">
        <v>75</v>
      </c>
      <c r="D39" s="414"/>
      <c r="E39" s="414"/>
      <c r="F39" s="415"/>
      <c r="G39" s="30"/>
    </row>
    <row r="40" spans="1:7" ht="12.75">
      <c r="A40" s="30"/>
      <c r="B40" s="50" t="b">
        <v>0</v>
      </c>
      <c r="C40" s="479" t="s">
        <v>76</v>
      </c>
      <c r="D40" s="414"/>
      <c r="E40" s="414"/>
      <c r="F40" s="415"/>
      <c r="G40" s="30"/>
    </row>
    <row r="41" spans="1:7" ht="11.25" customHeight="1">
      <c r="A41" s="30"/>
      <c r="B41" s="472"/>
      <c r="C41" s="353"/>
      <c r="D41" s="353"/>
      <c r="E41" s="353"/>
      <c r="F41" s="474"/>
      <c r="G41" s="30"/>
    </row>
    <row r="42" spans="1:7" ht="18.75" customHeight="1">
      <c r="A42" s="30"/>
      <c r="B42" s="480" t="s">
        <v>77</v>
      </c>
      <c r="C42" s="364"/>
      <c r="D42" s="364"/>
      <c r="E42" s="364"/>
      <c r="F42" s="365"/>
      <c r="G42" s="30"/>
    </row>
    <row r="43" spans="1:7" ht="18.75" customHeight="1">
      <c r="A43" s="30"/>
      <c r="B43" s="51" t="b">
        <v>0</v>
      </c>
      <c r="C43" s="481" t="s">
        <v>78</v>
      </c>
      <c r="D43" s="436"/>
      <c r="E43" s="436"/>
      <c r="F43" s="437"/>
      <c r="G43" s="30"/>
    </row>
    <row r="44" spans="1:7" ht="11.25" customHeight="1">
      <c r="A44" s="30"/>
      <c r="B44" s="482"/>
      <c r="C44" s="402"/>
      <c r="D44" s="402"/>
      <c r="E44" s="402"/>
      <c r="F44" s="403"/>
      <c r="G44" s="30"/>
    </row>
    <row r="45" spans="1:7" ht="18.75" customHeight="1">
      <c r="A45" s="30"/>
      <c r="B45" s="480" t="s">
        <v>79</v>
      </c>
      <c r="C45" s="364"/>
      <c r="D45" s="364"/>
      <c r="E45" s="364"/>
      <c r="F45" s="365"/>
      <c r="G45" s="30"/>
    </row>
    <row r="46" spans="1:7" ht="18.75" customHeight="1">
      <c r="A46" s="30"/>
      <c r="B46" s="51" t="b">
        <v>0</v>
      </c>
      <c r="C46" s="483" t="s">
        <v>80</v>
      </c>
      <c r="D46" s="436"/>
      <c r="E46" s="436"/>
      <c r="F46" s="437"/>
      <c r="G46" s="30"/>
    </row>
    <row r="47" spans="1:7" ht="18.75" customHeight="1">
      <c r="A47" s="30"/>
      <c r="B47" s="52" t="b">
        <v>0</v>
      </c>
      <c r="C47" s="481" t="s">
        <v>81</v>
      </c>
      <c r="D47" s="436"/>
      <c r="E47" s="436"/>
      <c r="F47" s="437"/>
      <c r="G47" s="30"/>
    </row>
    <row r="48" spans="1:7" ht="11.25" customHeight="1">
      <c r="A48" s="30"/>
      <c r="B48" s="418"/>
      <c r="C48" s="345"/>
      <c r="D48" s="345"/>
      <c r="E48" s="345"/>
      <c r="F48" s="346"/>
      <c r="G48" s="30"/>
    </row>
    <row r="49" spans="1:7" ht="18.75" customHeight="1">
      <c r="A49" s="30"/>
      <c r="B49" s="484" t="s">
        <v>82</v>
      </c>
      <c r="C49" s="402"/>
      <c r="D49" s="402"/>
      <c r="E49" s="402"/>
      <c r="F49" s="403"/>
      <c r="G49" s="30"/>
    </row>
    <row r="50" spans="1:7" ht="12.75">
      <c r="A50" s="30"/>
      <c r="B50" s="393" t="s">
        <v>83</v>
      </c>
      <c r="C50" s="394"/>
      <c r="D50" s="394"/>
      <c r="E50" s="394"/>
      <c r="F50" s="394"/>
      <c r="G50" s="30"/>
    </row>
    <row r="51" spans="1:7" ht="18.75" customHeight="1">
      <c r="A51" s="30"/>
      <c r="B51" s="53" t="s">
        <v>84</v>
      </c>
      <c r="C51" s="54" t="s">
        <v>85</v>
      </c>
      <c r="D51" s="395" t="s">
        <v>48</v>
      </c>
      <c r="E51" s="396"/>
      <c r="F51" s="55" t="s">
        <v>86</v>
      </c>
      <c r="G51" s="30"/>
    </row>
    <row r="52" spans="1:7" ht="11.25" customHeight="1">
      <c r="A52" s="30"/>
      <c r="B52" s="397"/>
      <c r="C52" s="353"/>
      <c r="D52" s="353"/>
      <c r="E52" s="353"/>
      <c r="F52" s="353"/>
      <c r="G52" s="30"/>
    </row>
    <row r="53" spans="1:7" ht="18.75" customHeight="1">
      <c r="A53" s="30"/>
      <c r="B53" s="52" t="b">
        <v>0</v>
      </c>
      <c r="C53" s="397" t="s">
        <v>87</v>
      </c>
      <c r="D53" s="353"/>
      <c r="E53" s="353"/>
      <c r="F53" s="353"/>
      <c r="G53" s="30"/>
    </row>
    <row r="54" spans="1:7" ht="15" customHeight="1">
      <c r="A54" s="30"/>
      <c r="B54" s="398"/>
      <c r="C54" s="399"/>
      <c r="D54" s="399"/>
      <c r="E54" s="399"/>
      <c r="F54" s="400"/>
      <c r="G54" s="30"/>
    </row>
    <row r="55" spans="1:7" ht="22.5" customHeight="1">
      <c r="A55" s="30"/>
      <c r="B55" s="401" t="s">
        <v>88</v>
      </c>
      <c r="C55" s="402"/>
      <c r="D55" s="402"/>
      <c r="E55" s="402"/>
      <c r="F55" s="403"/>
      <c r="G55" s="30"/>
    </row>
    <row r="56" spans="1:7" ht="12.75">
      <c r="A56" s="30"/>
      <c r="B56" s="404" t="s">
        <v>89</v>
      </c>
      <c r="C56" s="405"/>
      <c r="D56" s="405"/>
      <c r="E56" s="405"/>
      <c r="F56" s="406"/>
      <c r="G56" s="30"/>
    </row>
    <row r="57" spans="1:7" ht="18.75" customHeight="1">
      <c r="A57" s="30"/>
      <c r="B57" s="57" t="s">
        <v>68</v>
      </c>
      <c r="C57" s="58"/>
      <c r="D57" s="407" t="s">
        <v>48</v>
      </c>
      <c r="E57" s="365"/>
      <c r="F57" s="59" t="s">
        <v>90</v>
      </c>
      <c r="G57" s="30"/>
    </row>
    <row r="58" spans="1:7" ht="18.75" customHeight="1">
      <c r="A58" s="27"/>
      <c r="B58" s="408" t="s">
        <v>91</v>
      </c>
      <c r="C58" s="394"/>
      <c r="D58" s="407" t="s">
        <v>48</v>
      </c>
      <c r="E58" s="365"/>
      <c r="F58" s="60" t="s">
        <v>92</v>
      </c>
      <c r="G58" s="61"/>
    </row>
    <row r="59" spans="1:7" ht="18.75" customHeight="1">
      <c r="A59" s="27"/>
      <c r="B59" s="62"/>
      <c r="C59" s="409" t="s">
        <v>93</v>
      </c>
      <c r="D59" s="353"/>
      <c r="E59" s="353"/>
      <c r="F59" s="353"/>
      <c r="G59" s="61"/>
    </row>
    <row r="60" spans="1:7" ht="11.25" customHeight="1">
      <c r="A60" s="30"/>
      <c r="B60" s="410"/>
      <c r="C60" s="411"/>
      <c r="D60" s="411"/>
      <c r="E60" s="411"/>
      <c r="F60" s="412"/>
      <c r="G60" s="30"/>
    </row>
    <row r="61" spans="1:7" ht="18.75" customHeight="1">
      <c r="A61" s="27"/>
      <c r="B61" s="63" t="b">
        <v>0</v>
      </c>
      <c r="C61" s="413" t="s">
        <v>94</v>
      </c>
      <c r="D61" s="414"/>
      <c r="E61" s="414"/>
      <c r="F61" s="415"/>
      <c r="G61" s="61"/>
    </row>
    <row r="62" spans="1:7" ht="18.75" customHeight="1">
      <c r="A62" s="27"/>
      <c r="B62" s="63" t="b">
        <v>0</v>
      </c>
      <c r="C62" s="416" t="s">
        <v>95</v>
      </c>
      <c r="D62" s="414"/>
      <c r="E62" s="414"/>
      <c r="F62" s="415"/>
      <c r="G62" s="61"/>
    </row>
    <row r="63" spans="1:7" ht="18.75" customHeight="1">
      <c r="A63" s="27"/>
      <c r="B63" s="63" t="b">
        <v>0</v>
      </c>
      <c r="C63" s="416" t="s">
        <v>96</v>
      </c>
      <c r="D63" s="414"/>
      <c r="E63" s="414"/>
      <c r="F63" s="415"/>
      <c r="G63" s="61"/>
    </row>
    <row r="64" spans="1:7" ht="18.75" customHeight="1">
      <c r="A64" s="27"/>
      <c r="B64" s="63" t="b">
        <v>0</v>
      </c>
      <c r="C64" s="416" t="s">
        <v>97</v>
      </c>
      <c r="D64" s="414"/>
      <c r="E64" s="414"/>
      <c r="F64" s="415"/>
      <c r="G64" s="61"/>
    </row>
    <row r="65" spans="1:7" ht="18.75" customHeight="1">
      <c r="A65" s="27"/>
      <c r="B65" s="63" t="b">
        <v>0</v>
      </c>
      <c r="C65" s="417" t="s">
        <v>98</v>
      </c>
      <c r="D65" s="414"/>
      <c r="E65" s="414"/>
      <c r="F65" s="415"/>
      <c r="G65" s="61"/>
    </row>
    <row r="66" spans="1:7" ht="15" customHeight="1">
      <c r="A66" s="30"/>
      <c r="B66" s="418"/>
      <c r="C66" s="345"/>
      <c r="D66" s="345"/>
      <c r="E66" s="345"/>
      <c r="F66" s="346"/>
      <c r="G66" s="30"/>
    </row>
    <row r="67" spans="1:7" ht="22.5" customHeight="1">
      <c r="A67" s="30"/>
      <c r="B67" s="401" t="s">
        <v>99</v>
      </c>
      <c r="C67" s="402"/>
      <c r="D67" s="402"/>
      <c r="E67" s="402"/>
      <c r="F67" s="403"/>
      <c r="G67" s="30"/>
    </row>
    <row r="68" spans="1:7" ht="12.75">
      <c r="A68" s="30"/>
      <c r="B68" s="419" t="s">
        <v>100</v>
      </c>
      <c r="C68" s="364"/>
      <c r="D68" s="364"/>
      <c r="E68" s="364"/>
      <c r="F68" s="365"/>
      <c r="G68" s="30"/>
    </row>
    <row r="69" spans="1:7" ht="18.75" customHeight="1">
      <c r="A69" s="30"/>
      <c r="B69" s="64" t="s">
        <v>101</v>
      </c>
      <c r="C69" s="65" t="s">
        <v>102</v>
      </c>
      <c r="D69" s="420" t="s">
        <v>48</v>
      </c>
      <c r="E69" s="396"/>
      <c r="F69" s="66" t="s">
        <v>103</v>
      </c>
      <c r="G69" s="30"/>
    </row>
    <row r="70" spans="1:7" ht="11.25" customHeight="1">
      <c r="A70" s="30"/>
      <c r="B70" s="421"/>
      <c r="C70" s="399"/>
      <c r="D70" s="399"/>
      <c r="E70" s="399"/>
      <c r="F70" s="400"/>
      <c r="G70" s="30"/>
    </row>
    <row r="71" spans="1:7" ht="18.75" customHeight="1">
      <c r="A71" s="30"/>
      <c r="B71" s="422" t="s">
        <v>104</v>
      </c>
      <c r="C71" s="402"/>
      <c r="D71" s="402"/>
      <c r="E71" s="402"/>
      <c r="F71" s="403"/>
      <c r="G71" s="30"/>
    </row>
    <row r="72" spans="1:7" ht="12.75">
      <c r="A72" s="30"/>
      <c r="B72" s="423" t="s">
        <v>105</v>
      </c>
      <c r="C72" s="345"/>
      <c r="D72" s="345"/>
      <c r="E72" s="345"/>
      <c r="F72" s="346"/>
      <c r="G72" s="30"/>
    </row>
    <row r="73" spans="1:7" ht="18.75" customHeight="1">
      <c r="A73" s="30"/>
      <c r="B73" s="67"/>
      <c r="C73" s="409" t="s">
        <v>106</v>
      </c>
      <c r="D73" s="353"/>
      <c r="E73" s="353"/>
      <c r="F73" s="353"/>
      <c r="G73" s="30"/>
    </row>
    <row r="74" spans="1:7" ht="11.25" customHeight="1">
      <c r="A74" s="30"/>
      <c r="B74" s="424"/>
      <c r="C74" s="345"/>
      <c r="D74" s="345"/>
      <c r="E74" s="345"/>
      <c r="F74" s="346"/>
      <c r="G74" s="30"/>
    </row>
    <row r="75" spans="1:7" ht="18.75" customHeight="1">
      <c r="A75" s="30"/>
      <c r="B75" s="69"/>
      <c r="C75" s="425" t="s">
        <v>107</v>
      </c>
      <c r="D75" s="345"/>
      <c r="E75" s="345"/>
      <c r="F75" s="346"/>
      <c r="G75" s="30"/>
    </row>
    <row r="76" spans="1:7" ht="18.75" customHeight="1">
      <c r="A76" s="30"/>
      <c r="B76" s="69" t="b">
        <v>0</v>
      </c>
      <c r="C76" s="426" t="s">
        <v>108</v>
      </c>
      <c r="D76" s="345"/>
      <c r="E76" s="345"/>
      <c r="F76" s="346"/>
      <c r="G76" s="30"/>
    </row>
    <row r="77" spans="1:7" ht="18.75" customHeight="1">
      <c r="A77" s="30"/>
      <c r="B77" s="69" t="b">
        <v>0</v>
      </c>
      <c r="C77" s="70" t="s">
        <v>109</v>
      </c>
      <c r="D77" s="17"/>
      <c r="E77" s="17"/>
      <c r="F77" s="17"/>
      <c r="G77" s="30"/>
    </row>
    <row r="78" spans="1:7" ht="18.75" customHeight="1">
      <c r="A78" s="27"/>
      <c r="B78" s="69" t="b">
        <v>0</v>
      </c>
      <c r="C78" s="426" t="s">
        <v>110</v>
      </c>
      <c r="D78" s="345"/>
      <c r="E78" s="345"/>
      <c r="F78" s="346"/>
      <c r="G78" s="61"/>
    </row>
    <row r="79" spans="1:7" ht="18.75" customHeight="1">
      <c r="A79" s="27"/>
      <c r="B79" s="69" t="b">
        <v>0</v>
      </c>
      <c r="C79" s="426" t="s">
        <v>111</v>
      </c>
      <c r="D79" s="345"/>
      <c r="E79" s="345"/>
      <c r="F79" s="346"/>
      <c r="G79" s="61"/>
    </row>
    <row r="80" spans="1:7" ht="11.25" customHeight="1">
      <c r="A80" s="27"/>
      <c r="B80" s="357"/>
      <c r="C80" s="345"/>
      <c r="D80" s="345"/>
      <c r="E80" s="345"/>
      <c r="F80" s="346"/>
      <c r="G80" s="61"/>
    </row>
    <row r="81" spans="1:7" ht="18.75" customHeight="1">
      <c r="A81" s="27"/>
      <c r="B81" s="69"/>
      <c r="C81" s="428" t="s">
        <v>112</v>
      </c>
      <c r="D81" s="345"/>
      <c r="E81" s="345"/>
      <c r="F81" s="346"/>
      <c r="G81" s="61"/>
    </row>
    <row r="82" spans="1:7" ht="18.75" customHeight="1">
      <c r="A82" s="27"/>
      <c r="B82" s="69" t="b">
        <v>0</v>
      </c>
      <c r="C82" s="485" t="s">
        <v>113</v>
      </c>
      <c r="D82" s="345"/>
      <c r="E82" s="345"/>
      <c r="F82" s="346"/>
      <c r="G82" s="61"/>
    </row>
    <row r="83" spans="1:7" ht="18.75" customHeight="1">
      <c r="A83" s="27"/>
      <c r="B83" s="69" t="b">
        <v>0</v>
      </c>
      <c r="C83" s="485" t="s">
        <v>114</v>
      </c>
      <c r="D83" s="345"/>
      <c r="E83" s="345"/>
      <c r="F83" s="346"/>
      <c r="G83" s="61"/>
    </row>
    <row r="84" spans="1:7" ht="18.75" customHeight="1">
      <c r="A84" s="27"/>
      <c r="B84" s="69" t="b">
        <v>0</v>
      </c>
      <c r="C84" s="425" t="s">
        <v>115</v>
      </c>
      <c r="D84" s="345"/>
      <c r="E84" s="345"/>
      <c r="F84" s="346"/>
      <c r="G84" s="61"/>
    </row>
    <row r="85" spans="1:7" ht="18.75" customHeight="1">
      <c r="A85" s="30"/>
      <c r="B85" s="69" t="b">
        <v>0</v>
      </c>
      <c r="C85" s="427" t="s">
        <v>116</v>
      </c>
      <c r="D85" s="399"/>
      <c r="E85" s="399"/>
      <c r="F85" s="400"/>
      <c r="G85" s="30"/>
    </row>
    <row r="86" spans="1:7" ht="18.75" customHeight="1">
      <c r="A86" s="30"/>
      <c r="B86" s="67"/>
      <c r="C86" s="428" t="s">
        <v>117</v>
      </c>
      <c r="D86" s="345"/>
      <c r="E86" s="345"/>
      <c r="F86" s="346"/>
      <c r="G86" s="30"/>
    </row>
    <row r="87" spans="1:7" ht="18.75" customHeight="1">
      <c r="A87" s="30"/>
      <c r="B87" s="69" t="b">
        <v>0</v>
      </c>
      <c r="C87" s="429" t="s">
        <v>118</v>
      </c>
      <c r="D87" s="399"/>
      <c r="E87" s="399"/>
      <c r="F87" s="400"/>
      <c r="G87" s="30"/>
    </row>
    <row r="88" spans="1:7" ht="18.75" customHeight="1">
      <c r="A88" s="30"/>
      <c r="B88" s="69" t="b">
        <v>0</v>
      </c>
      <c r="C88" s="426" t="s">
        <v>119</v>
      </c>
      <c r="D88" s="345"/>
      <c r="E88" s="345"/>
      <c r="F88" s="346"/>
      <c r="G88" s="30"/>
    </row>
    <row r="89" spans="1:7" ht="18.75" customHeight="1">
      <c r="A89" s="30"/>
      <c r="B89" s="69" t="b">
        <v>0</v>
      </c>
      <c r="C89" s="426" t="s">
        <v>120</v>
      </c>
      <c r="D89" s="345"/>
      <c r="E89" s="345"/>
      <c r="F89" s="346"/>
      <c r="G89" s="30"/>
    </row>
    <row r="90" spans="1:7" ht="18.75" customHeight="1">
      <c r="A90" s="30"/>
      <c r="B90" s="69" t="b">
        <v>0</v>
      </c>
      <c r="C90" s="426" t="s">
        <v>121</v>
      </c>
      <c r="D90" s="345"/>
      <c r="E90" s="345"/>
      <c r="F90" s="346"/>
      <c r="G90" s="30"/>
    </row>
    <row r="91" spans="1:7" ht="18.75" customHeight="1">
      <c r="A91" s="30"/>
      <c r="B91" s="69" t="b">
        <v>0</v>
      </c>
      <c r="C91" s="426" t="s">
        <v>122</v>
      </c>
      <c r="D91" s="345"/>
      <c r="E91" s="345"/>
      <c r="F91" s="346"/>
      <c r="G91" s="30"/>
    </row>
    <row r="92" spans="1:7" ht="18.75" customHeight="1">
      <c r="A92" s="30"/>
      <c r="B92" s="69" t="b">
        <v>0</v>
      </c>
      <c r="C92" s="426" t="s">
        <v>123</v>
      </c>
      <c r="D92" s="345"/>
      <c r="E92" s="345"/>
      <c r="F92" s="346"/>
      <c r="G92" s="30"/>
    </row>
    <row r="93" spans="1:7" ht="15" customHeight="1">
      <c r="A93" s="30"/>
      <c r="B93" s="424"/>
      <c r="C93" s="345"/>
      <c r="D93" s="345"/>
      <c r="E93" s="345"/>
      <c r="F93" s="346"/>
      <c r="G93" s="30"/>
    </row>
    <row r="94" spans="1:7" ht="18.75" customHeight="1">
      <c r="A94" s="30"/>
      <c r="B94" s="430" t="s">
        <v>124</v>
      </c>
      <c r="C94" s="431"/>
      <c r="D94" s="431"/>
      <c r="E94" s="431"/>
      <c r="F94" s="432"/>
      <c r="G94" s="30"/>
    </row>
    <row r="95" spans="1:7" ht="18.75" customHeight="1">
      <c r="A95" s="30"/>
      <c r="B95" s="433" t="s">
        <v>125</v>
      </c>
      <c r="C95" s="353"/>
      <c r="D95" s="353"/>
      <c r="E95" s="353"/>
      <c r="F95" s="353"/>
      <c r="G95" s="30"/>
    </row>
    <row r="96" spans="1:7" ht="18.75" customHeight="1">
      <c r="A96" s="30"/>
      <c r="B96" s="72"/>
      <c r="C96" s="434" t="s">
        <v>126</v>
      </c>
      <c r="D96" s="353"/>
      <c r="E96" s="353"/>
      <c r="F96" s="353"/>
      <c r="G96" s="30"/>
    </row>
    <row r="97" spans="1:7" ht="11.25" customHeight="1">
      <c r="A97" s="30"/>
      <c r="B97" s="398"/>
      <c r="C97" s="399"/>
      <c r="D97" s="399"/>
      <c r="E97" s="399"/>
      <c r="F97" s="400"/>
      <c r="G97" s="30"/>
    </row>
    <row r="98" spans="1:7" ht="18.75" customHeight="1">
      <c r="A98" s="30"/>
      <c r="B98" s="73" t="b">
        <v>0</v>
      </c>
      <c r="C98" s="435" t="s">
        <v>127</v>
      </c>
      <c r="D98" s="436"/>
      <c r="E98" s="436"/>
      <c r="F98" s="437"/>
      <c r="G98" s="30"/>
    </row>
    <row r="99" spans="1:7" ht="18.75" customHeight="1">
      <c r="A99" s="30"/>
      <c r="B99" s="74" t="b">
        <v>0</v>
      </c>
      <c r="C99" s="438" t="s">
        <v>128</v>
      </c>
      <c r="D99" s="345"/>
      <c r="E99" s="345"/>
      <c r="F99" s="346"/>
      <c r="G99" s="30"/>
    </row>
    <row r="100" spans="1:7" ht="18.75" customHeight="1">
      <c r="A100" s="30"/>
      <c r="B100" s="74" t="b">
        <v>0</v>
      </c>
      <c r="C100" s="439" t="s">
        <v>129</v>
      </c>
      <c r="D100" s="345"/>
      <c r="E100" s="345"/>
      <c r="F100" s="346"/>
      <c r="G100" s="30"/>
    </row>
    <row r="101" spans="1:7" ht="18.75" customHeight="1">
      <c r="A101" s="30"/>
      <c r="B101" s="74" t="b">
        <v>0</v>
      </c>
      <c r="C101" s="438" t="s">
        <v>130</v>
      </c>
      <c r="D101" s="345"/>
      <c r="E101" s="345"/>
      <c r="F101" s="346"/>
      <c r="G101" s="30"/>
    </row>
    <row r="102" spans="1:7" ht="18.75" customHeight="1">
      <c r="A102" s="30"/>
      <c r="B102" s="75" t="b">
        <v>0</v>
      </c>
      <c r="C102" s="439" t="s">
        <v>131</v>
      </c>
      <c r="D102" s="345"/>
      <c r="E102" s="345"/>
      <c r="F102" s="346"/>
      <c r="G102" s="30"/>
    </row>
    <row r="103" spans="1:7" ht="18.75" customHeight="1">
      <c r="A103" s="30"/>
      <c r="B103" s="75" t="b">
        <v>0</v>
      </c>
      <c r="C103" s="439" t="s">
        <v>132</v>
      </c>
      <c r="D103" s="345"/>
      <c r="E103" s="345"/>
      <c r="F103" s="346"/>
      <c r="G103" s="30"/>
    </row>
    <row r="104" spans="1:7" ht="18.75" customHeight="1">
      <c r="A104" s="30"/>
      <c r="B104" s="76" t="b">
        <v>0</v>
      </c>
      <c r="C104" s="438" t="s">
        <v>133</v>
      </c>
      <c r="D104" s="345"/>
      <c r="E104" s="345"/>
      <c r="F104" s="346"/>
      <c r="G104" s="30"/>
    </row>
    <row r="105" spans="1:7" ht="15" customHeight="1">
      <c r="A105" s="30"/>
      <c r="B105" s="424"/>
      <c r="C105" s="345"/>
      <c r="D105" s="345"/>
      <c r="E105" s="345"/>
      <c r="F105" s="346"/>
      <c r="G105" s="30"/>
    </row>
    <row r="106" spans="1:7" ht="22.5" customHeight="1">
      <c r="A106" s="30"/>
      <c r="B106" s="448" t="s">
        <v>134</v>
      </c>
      <c r="C106" s="345"/>
      <c r="D106" s="345"/>
      <c r="E106" s="345"/>
      <c r="F106" s="346"/>
      <c r="G106" s="30"/>
    </row>
    <row r="107" spans="1:7" ht="12.75">
      <c r="A107" s="77"/>
      <c r="B107" s="449" t="s">
        <v>135</v>
      </c>
      <c r="C107" s="345"/>
      <c r="D107" s="345"/>
      <c r="E107" s="345"/>
      <c r="F107" s="346"/>
      <c r="G107" s="77"/>
    </row>
    <row r="108" spans="1:7" ht="18.75" customHeight="1">
      <c r="A108" s="30"/>
      <c r="B108" s="78"/>
      <c r="C108" s="450" t="s">
        <v>136</v>
      </c>
      <c r="D108" s="399"/>
      <c r="E108" s="399"/>
      <c r="F108" s="399"/>
      <c r="G108" s="30"/>
    </row>
    <row r="109" spans="1:7" ht="11.25" customHeight="1">
      <c r="A109" s="30"/>
      <c r="B109" s="424"/>
      <c r="C109" s="345"/>
      <c r="D109" s="345"/>
      <c r="E109" s="345"/>
      <c r="F109" s="346"/>
      <c r="G109" s="30"/>
    </row>
    <row r="110" spans="1:7" ht="18.75" customHeight="1">
      <c r="A110" s="30"/>
      <c r="B110" s="79" t="b">
        <v>0</v>
      </c>
      <c r="C110" s="451" t="s">
        <v>137</v>
      </c>
      <c r="D110" s="436"/>
      <c r="E110" s="436"/>
      <c r="F110" s="436"/>
      <c r="G110" s="30"/>
    </row>
    <row r="111" spans="1:7" ht="18.75" customHeight="1">
      <c r="A111" s="30"/>
      <c r="B111" s="78" t="b">
        <v>0</v>
      </c>
      <c r="C111" s="452" t="s">
        <v>138</v>
      </c>
      <c r="D111" s="353"/>
      <c r="E111" s="353"/>
      <c r="F111" s="353"/>
      <c r="G111" s="30"/>
    </row>
    <row r="112" spans="1:7" ht="18.75" customHeight="1">
      <c r="A112" s="30"/>
      <c r="B112" s="80" t="s">
        <v>101</v>
      </c>
      <c r="C112" s="81" t="s">
        <v>139</v>
      </c>
      <c r="D112" s="407" t="s">
        <v>48</v>
      </c>
      <c r="E112" s="365"/>
      <c r="F112" s="82" t="s">
        <v>140</v>
      </c>
      <c r="G112" s="30"/>
    </row>
    <row r="113" spans="1:7" ht="18.75" customHeight="1">
      <c r="A113" s="30"/>
      <c r="B113" s="398"/>
      <c r="C113" s="399"/>
      <c r="D113" s="399"/>
      <c r="E113" s="399"/>
      <c r="F113" s="400"/>
      <c r="G113" s="30"/>
    </row>
    <row r="114" spans="1:7" ht="18.75" customHeight="1">
      <c r="A114" s="30"/>
      <c r="B114" s="440" t="s">
        <v>141</v>
      </c>
      <c r="C114" s="441"/>
      <c r="D114" s="442" t="s">
        <v>142</v>
      </c>
      <c r="E114" s="353"/>
      <c r="F114" s="353"/>
      <c r="G114" s="30"/>
    </row>
    <row r="115" spans="1:7" ht="25.5">
      <c r="A115" s="30"/>
      <c r="B115" s="56" t="b">
        <v>0</v>
      </c>
      <c r="C115" s="83" t="s">
        <v>143</v>
      </c>
      <c r="D115" s="443"/>
      <c r="E115" s="56" t="b">
        <v>0</v>
      </c>
      <c r="F115" s="84" t="s">
        <v>144</v>
      </c>
      <c r="G115" s="30"/>
    </row>
    <row r="116" spans="1:7" ht="25.5">
      <c r="A116" s="30"/>
      <c r="B116" s="56" t="b">
        <v>0</v>
      </c>
      <c r="C116" s="83" t="s">
        <v>145</v>
      </c>
      <c r="D116" s="353"/>
      <c r="E116" s="56" t="b">
        <v>0</v>
      </c>
      <c r="F116" s="84" t="s">
        <v>146</v>
      </c>
      <c r="G116" s="30"/>
    </row>
    <row r="117" spans="1:7" ht="25.5">
      <c r="A117" s="30"/>
      <c r="B117" s="56" t="b">
        <v>0</v>
      </c>
      <c r="C117" s="85" t="s">
        <v>147</v>
      </c>
      <c r="D117" s="353"/>
      <c r="E117" s="56" t="b">
        <v>0</v>
      </c>
      <c r="F117" s="86" t="s">
        <v>148</v>
      </c>
      <c r="G117" s="87"/>
    </row>
    <row r="118" spans="1:7" ht="25.5">
      <c r="A118" s="30"/>
      <c r="B118" s="56" t="b">
        <v>0</v>
      </c>
      <c r="C118" s="83" t="s">
        <v>149</v>
      </c>
      <c r="D118" s="353"/>
      <c r="E118" s="56" t="b">
        <v>0</v>
      </c>
      <c r="F118" s="86" t="s">
        <v>150</v>
      </c>
      <c r="G118" s="30"/>
    </row>
    <row r="119" spans="1:7" ht="25.5">
      <c r="A119" s="30"/>
      <c r="B119" s="56" t="b">
        <v>0</v>
      </c>
      <c r="C119" s="83" t="s">
        <v>670</v>
      </c>
      <c r="D119" s="353"/>
      <c r="E119" s="56" t="b">
        <v>0</v>
      </c>
      <c r="F119" s="88" t="s">
        <v>151</v>
      </c>
      <c r="G119" s="30"/>
    </row>
    <row r="120" spans="1:7" ht="18.75" customHeight="1">
      <c r="A120" s="30"/>
      <c r="B120" s="56" t="b">
        <v>0</v>
      </c>
      <c r="C120" s="85" t="s">
        <v>152</v>
      </c>
      <c r="D120" s="353"/>
      <c r="E120" s="56" t="b">
        <v>0</v>
      </c>
      <c r="F120" s="71" t="s">
        <v>153</v>
      </c>
      <c r="G120" s="30"/>
    </row>
    <row r="121" spans="1:7" ht="18.75" customHeight="1">
      <c r="A121" s="30"/>
      <c r="B121" s="68" t="b">
        <v>0</v>
      </c>
      <c r="C121" s="89" t="s">
        <v>154</v>
      </c>
      <c r="D121" s="353"/>
      <c r="E121" s="56" t="b">
        <v>0</v>
      </c>
      <c r="F121" s="90" t="s">
        <v>155</v>
      </c>
      <c r="G121" s="30"/>
    </row>
    <row r="122" spans="1:7" ht="76.5">
      <c r="A122" s="30"/>
      <c r="B122" s="68" t="b">
        <v>0</v>
      </c>
      <c r="C122" s="85" t="s">
        <v>156</v>
      </c>
      <c r="D122" s="353"/>
      <c r="E122" s="56" t="b">
        <v>0</v>
      </c>
      <c r="F122" s="90" t="s">
        <v>157</v>
      </c>
      <c r="G122" s="30"/>
    </row>
    <row r="123" spans="1:7" ht="25.5">
      <c r="A123" s="30"/>
      <c r="B123" s="68" t="b">
        <v>0</v>
      </c>
      <c r="C123" s="89" t="s">
        <v>158</v>
      </c>
      <c r="D123" s="353"/>
      <c r="E123" s="56" t="b">
        <v>0</v>
      </c>
      <c r="F123" s="90" t="s">
        <v>159</v>
      </c>
      <c r="G123" s="30"/>
    </row>
    <row r="124" spans="1:7" ht="25.5">
      <c r="A124" s="30"/>
      <c r="B124" s="68" t="b">
        <v>0</v>
      </c>
      <c r="C124" s="89" t="s">
        <v>160</v>
      </c>
      <c r="D124" s="353"/>
      <c r="E124" s="56" t="b">
        <v>0</v>
      </c>
      <c r="F124" s="91" t="str">
        <f>CONCATENATE("Programe a campanha para começar dia ",TEXT(SUMÁRIO!$D$7-21,"DD/MM"))</f>
        <v>Programe a campanha para começar dia 03/02</v>
      </c>
      <c r="G124" s="30"/>
    </row>
    <row r="125" spans="1:7" ht="18.75" customHeight="1">
      <c r="A125" s="30"/>
      <c r="B125" s="68" t="b">
        <v>0</v>
      </c>
      <c r="C125" s="92" t="str">
        <f>CONCATENATE("Programe a campanha para começar dia ",TEXT(SUMÁRIO!$D$7-21,"DD/MM"))</f>
        <v>Programe a campanha para começar dia 03/02</v>
      </c>
      <c r="D125" s="399"/>
      <c r="E125" s="444"/>
      <c r="F125" s="445"/>
      <c r="G125" s="30"/>
    </row>
    <row r="126" spans="1:7" ht="18.75" customHeight="1">
      <c r="A126" s="30"/>
      <c r="B126" s="446"/>
      <c r="C126" s="353"/>
      <c r="D126" s="353"/>
      <c r="E126" s="353"/>
      <c r="F126" s="360"/>
      <c r="G126" s="30"/>
    </row>
    <row r="127" spans="1:7" ht="26.25" customHeight="1">
      <c r="A127" s="27"/>
      <c r="B127" s="447"/>
      <c r="C127" s="339"/>
      <c r="D127" s="339"/>
      <c r="E127" s="339"/>
      <c r="F127" s="340"/>
      <c r="G127" s="27"/>
    </row>
  </sheetData>
  <mergeCells count="112">
    <mergeCell ref="C79:F79"/>
    <mergeCell ref="B80:F80"/>
    <mergeCell ref="C81:F81"/>
    <mergeCell ref="C82:F82"/>
    <mergeCell ref="C83:F83"/>
    <mergeCell ref="C84:F84"/>
    <mergeCell ref="B42:F42"/>
    <mergeCell ref="C43:F43"/>
    <mergeCell ref="B44:F44"/>
    <mergeCell ref="B45:F45"/>
    <mergeCell ref="C46:F46"/>
    <mergeCell ref="C47:F47"/>
    <mergeCell ref="B48:F48"/>
    <mergeCell ref="B49:F49"/>
    <mergeCell ref="C78:F78"/>
    <mergeCell ref="B33:F33"/>
    <mergeCell ref="B34:F34"/>
    <mergeCell ref="C35:F35"/>
    <mergeCell ref="C36:F36"/>
    <mergeCell ref="C37:F37"/>
    <mergeCell ref="C38:F38"/>
    <mergeCell ref="C39:F39"/>
    <mergeCell ref="C40:F40"/>
    <mergeCell ref="B41:F41"/>
    <mergeCell ref="B24:F24"/>
    <mergeCell ref="C25:F25"/>
    <mergeCell ref="C26:F26"/>
    <mergeCell ref="C27:F27"/>
    <mergeCell ref="C28:F28"/>
    <mergeCell ref="B29:F29"/>
    <mergeCell ref="B30:F30"/>
    <mergeCell ref="B31:F31"/>
    <mergeCell ref="B32:D32"/>
    <mergeCell ref="B127:F127"/>
    <mergeCell ref="B106:F106"/>
    <mergeCell ref="B107:F107"/>
    <mergeCell ref="C108:F108"/>
    <mergeCell ref="B109:F109"/>
    <mergeCell ref="C110:F110"/>
    <mergeCell ref="C111:F111"/>
    <mergeCell ref="D112:E112"/>
    <mergeCell ref="A1:G1"/>
    <mergeCell ref="A2:G2"/>
    <mergeCell ref="B3:B5"/>
    <mergeCell ref="C4:F4"/>
    <mergeCell ref="C7:F7"/>
    <mergeCell ref="E8:F8"/>
    <mergeCell ref="B9:F9"/>
    <mergeCell ref="B10:C15"/>
    <mergeCell ref="D10:D15"/>
    <mergeCell ref="B16:F16"/>
    <mergeCell ref="B17:F17"/>
    <mergeCell ref="B18:F18"/>
    <mergeCell ref="B19:F19"/>
    <mergeCell ref="B21:F21"/>
    <mergeCell ref="B22:F22"/>
    <mergeCell ref="D23:E23"/>
    <mergeCell ref="C103:F103"/>
    <mergeCell ref="C104:F104"/>
    <mergeCell ref="B105:F105"/>
    <mergeCell ref="B113:F113"/>
    <mergeCell ref="B114:C114"/>
    <mergeCell ref="D114:F114"/>
    <mergeCell ref="D115:D125"/>
    <mergeCell ref="E125:F125"/>
    <mergeCell ref="B126:F126"/>
    <mergeCell ref="B94:F94"/>
    <mergeCell ref="B95:F95"/>
    <mergeCell ref="C96:F96"/>
    <mergeCell ref="B97:F97"/>
    <mergeCell ref="C98:F98"/>
    <mergeCell ref="C99:F99"/>
    <mergeCell ref="C100:F100"/>
    <mergeCell ref="C101:F101"/>
    <mergeCell ref="C102:F102"/>
    <mergeCell ref="C85:F85"/>
    <mergeCell ref="C86:F86"/>
    <mergeCell ref="C87:F87"/>
    <mergeCell ref="C88:F88"/>
    <mergeCell ref="C89:F89"/>
    <mergeCell ref="C90:F90"/>
    <mergeCell ref="C91:F91"/>
    <mergeCell ref="C92:F92"/>
    <mergeCell ref="B93:F93"/>
    <mergeCell ref="B68:F68"/>
    <mergeCell ref="D69:E69"/>
    <mergeCell ref="B70:F70"/>
    <mergeCell ref="B71:F71"/>
    <mergeCell ref="B72:F72"/>
    <mergeCell ref="C73:F73"/>
    <mergeCell ref="B74:F74"/>
    <mergeCell ref="C75:F75"/>
    <mergeCell ref="C76:F76"/>
    <mergeCell ref="C59:F59"/>
    <mergeCell ref="B60:F60"/>
    <mergeCell ref="C61:F61"/>
    <mergeCell ref="C62:F62"/>
    <mergeCell ref="C63:F63"/>
    <mergeCell ref="C64:F64"/>
    <mergeCell ref="C65:F65"/>
    <mergeCell ref="B66:F66"/>
    <mergeCell ref="B67:F67"/>
    <mergeCell ref="B50:F50"/>
    <mergeCell ref="D51:E51"/>
    <mergeCell ref="B52:F52"/>
    <mergeCell ref="C53:F53"/>
    <mergeCell ref="B54:F54"/>
    <mergeCell ref="B55:F55"/>
    <mergeCell ref="B56:F56"/>
    <mergeCell ref="D57:E57"/>
    <mergeCell ref="B58:C58"/>
    <mergeCell ref="D58:E58"/>
  </mergeCells>
  <hyperlinks>
    <hyperlink ref="E8" r:id="rId1" xr:uid="{00000000-0004-0000-0100-000000000000}"/>
    <hyperlink ref="F23" r:id="rId2" xr:uid="{00000000-0004-0000-0100-000001000000}"/>
    <hyperlink ref="C26" location="'PRÉ-REQUISITOS'!F10" display="Use o documento 1 listado em Documentos Necessários disponível no início dessa seção. " xr:uid="{00000000-0004-0000-0100-000002000000}"/>
    <hyperlink ref="C28" location="'PRÉ-REQUISITOS'!F11" display="Use o documento 2 listado em Documentos Necessários disponível no início dessa seção. " xr:uid="{00000000-0004-0000-0100-000003000000}"/>
    <hyperlink ref="F32" r:id="rId3" xr:uid="{00000000-0004-0000-0100-000004000000}"/>
    <hyperlink ref="F51" r:id="rId4" xr:uid="{00000000-0004-0000-0100-000005000000}"/>
    <hyperlink ref="F57" r:id="rId5" xr:uid="{00000000-0004-0000-0100-000006000000}"/>
    <hyperlink ref="F58" r:id="rId6" xr:uid="{00000000-0004-0000-0100-000007000000}"/>
    <hyperlink ref="C59" location="'PRÉ-REQUISITOS'!F12" display="Use o documento 3 listado em Documentos Necessários disponível no início dessa seção. " xr:uid="{00000000-0004-0000-0100-000008000000}"/>
    <hyperlink ref="F69" r:id="rId7" xr:uid="{00000000-0004-0000-0100-000009000000}"/>
    <hyperlink ref="C73" location="'PRÉ-REQUISITOS'!F13" display="Use o documento 4, listado em Documentos Necessários, disponível no início desta seção. " xr:uid="{00000000-0004-0000-0100-00000A000000}"/>
    <hyperlink ref="C96" location="'PRÉ-REQUISITOS'!F14" display="Use o documento 5, listado em Documento Necessários, disponível no início desta seção " xr:uid="{00000000-0004-0000-0100-00000B000000}"/>
    <hyperlink ref="C98" r:id="rId8" xr:uid="{00000000-0004-0000-0100-00000C000000}"/>
    <hyperlink ref="C99" r:id="rId9" xr:uid="{00000000-0004-0000-0100-00000D000000}"/>
    <hyperlink ref="C101" r:id="rId10" xr:uid="{00000000-0004-0000-0100-00000E000000}"/>
    <hyperlink ref="C104" r:id="rId11" xr:uid="{00000000-0004-0000-0100-00000F000000}"/>
    <hyperlink ref="C108" location="'PRÉ-REQUISITOS'!F15" display="Utilize o documento 6, listado em Documentos Necessários, disponível no início desta seção. " xr:uid="{00000000-0004-0000-0100-000010000000}"/>
    <hyperlink ref="F112" r:id="rId12" xr:uid="{00000000-0004-0000-0100-000011000000}"/>
    <hyperlink ref="C115" r:id="rId13" xr:uid="{00000000-0004-0000-0100-000012000000}"/>
    <hyperlink ref="F115" r:id="rId14" xr:uid="{00000000-0004-0000-0100-000013000000}"/>
    <hyperlink ref="C116" r:id="rId15" xr:uid="{00000000-0004-0000-0100-000014000000}"/>
    <hyperlink ref="F116" r:id="rId16" xr:uid="{00000000-0004-0000-0100-000015000000}"/>
    <hyperlink ref="C117" r:id="rId17" xr:uid="{00000000-0004-0000-0100-000016000000}"/>
    <hyperlink ref="F117" r:id="rId18" xr:uid="{00000000-0004-0000-0100-000017000000}"/>
    <hyperlink ref="C118" r:id="rId19" xr:uid="{00000000-0004-0000-0100-000018000000}"/>
    <hyperlink ref="F118" r:id="rId20" xr:uid="{00000000-0004-0000-0100-000019000000}"/>
    <hyperlink ref="C119" r:id="rId21" display="Verifique o domínio do Facebook_x000a_👨‍🏫 Aula de verificação do Domínimo da sua Página no Facebook" xr:uid="{00000000-0004-0000-0100-00001A000000}"/>
    <hyperlink ref="F119" r:id="rId22" xr:uid="{00000000-0004-0000-0100-00001B000000}"/>
    <hyperlink ref="C120" r:id="rId23" xr:uid="{00000000-0004-0000-0100-00001C000000}"/>
    <hyperlink ref="C122" r:id="rId24" xr:uid="{00000000-0004-0000-0100-00001D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4C2F4"/>
    <outlinePr summaryBelow="0" summaryRight="0"/>
  </sheetPr>
  <dimension ref="A1:G129"/>
  <sheetViews>
    <sheetView workbookViewId="0">
      <pane ySplit="6" topLeftCell="A7" activePane="bottomLeft" state="frozen"/>
      <selection pane="bottomLeft" activeCell="B8" sqref="B8"/>
    </sheetView>
  </sheetViews>
  <sheetFormatPr defaultColWidth="12.59765625" defaultRowHeight="15.75" customHeight="1"/>
  <cols>
    <col min="1" max="1" width="4.3984375" customWidth="1"/>
    <col min="2" max="2" width="3.73046875" customWidth="1"/>
    <col min="3" max="3" width="61.1328125" customWidth="1"/>
    <col min="4" max="4" width="4.3984375" customWidth="1"/>
    <col min="5" max="5" width="3.73046875" customWidth="1"/>
    <col min="6" max="6" width="61.1328125" customWidth="1"/>
    <col min="7" max="7" width="4.3984375" customWidth="1"/>
  </cols>
  <sheetData>
    <row r="1" spans="1:7" ht="41.25" customHeight="1">
      <c r="A1" s="486" t="str">
        <f>CONCATENATE("Preparação de ", TEXT(SUMÁRIO!$D$6,"DD/MM"), " até ", TEXT(SUMÁRIO!$D$6+(((SUMÁRIO!$D$7-3)-SUMÁRIO!$D$6)*0.63)-1,"DD/MM"))</f>
        <v>Preparação de 06/01 até 02/02</v>
      </c>
      <c r="B1" s="487"/>
      <c r="C1" s="487"/>
      <c r="D1" s="487"/>
      <c r="E1" s="487"/>
      <c r="F1" s="487"/>
      <c r="G1" s="488"/>
    </row>
    <row r="2" spans="1:7" ht="12.75">
      <c r="A2" s="454" t="s">
        <v>44</v>
      </c>
      <c r="B2" s="339"/>
      <c r="C2" s="339"/>
      <c r="D2" s="339"/>
      <c r="E2" s="339"/>
      <c r="F2" s="339"/>
      <c r="G2" s="340"/>
    </row>
    <row r="3" spans="1:7" ht="6" customHeight="1">
      <c r="A3" s="19"/>
      <c r="B3" s="455">
        <f>(COUNTIF(B65:B129,TRUE)/29)</f>
        <v>0</v>
      </c>
      <c r="C3" s="20"/>
      <c r="D3" s="21"/>
      <c r="E3" s="21"/>
      <c r="F3" s="22"/>
      <c r="G3" s="23"/>
    </row>
    <row r="4" spans="1:7" ht="6" customHeight="1">
      <c r="A4" s="19"/>
      <c r="B4" s="456"/>
      <c r="C4" s="458" t="str">
        <f ca="1">IFERROR(__xludf.DUMMYFUNCTION("SPARKLINE(B3,{""charttype"",""bar"";""color1"",""#38a036"";""max"",1})"),"")</f>
        <v/>
      </c>
      <c r="D4" s="339"/>
      <c r="E4" s="339"/>
      <c r="F4" s="340"/>
      <c r="G4" s="25"/>
    </row>
    <row r="5" spans="1:7" ht="6" customHeight="1">
      <c r="A5" s="19"/>
      <c r="B5" s="457"/>
      <c r="C5" s="26"/>
      <c r="D5" s="26"/>
      <c r="E5" s="26"/>
      <c r="F5" s="24"/>
      <c r="G5" s="25"/>
    </row>
    <row r="6" spans="1:7" ht="6" customHeight="1">
      <c r="A6" s="19"/>
      <c r="B6" s="93"/>
      <c r="C6" s="20"/>
      <c r="D6" s="21"/>
      <c r="E6" s="21"/>
      <c r="F6" s="22"/>
      <c r="G6" s="23"/>
    </row>
    <row r="7" spans="1:7" ht="21.75" customHeight="1">
      <c r="A7" s="28"/>
      <c r="B7" s="28"/>
      <c r="C7" s="28"/>
      <c r="D7" s="28"/>
      <c r="E7" s="28"/>
      <c r="F7" s="29"/>
      <c r="G7" s="27"/>
    </row>
    <row r="8" spans="1:7" ht="21.75" customHeight="1">
      <c r="A8" s="28"/>
      <c r="B8" s="94"/>
      <c r="C8" s="489" t="s">
        <v>161</v>
      </c>
      <c r="D8" s="353"/>
      <c r="E8" s="353"/>
      <c r="F8" s="353"/>
      <c r="G8" s="27"/>
    </row>
    <row r="9" spans="1:7" ht="12.75">
      <c r="A9" s="28"/>
      <c r="B9" s="490" t="s">
        <v>162</v>
      </c>
      <c r="C9" s="394"/>
      <c r="D9" s="394"/>
      <c r="E9" s="394"/>
      <c r="F9" s="394"/>
      <c r="G9" s="27"/>
    </row>
    <row r="10" spans="1:7" ht="12.75">
      <c r="A10" s="28"/>
      <c r="B10" s="491" t="s">
        <v>671</v>
      </c>
      <c r="C10" s="468"/>
      <c r="D10" s="468"/>
      <c r="E10" s="468"/>
      <c r="F10" s="468"/>
      <c r="G10" s="27"/>
    </row>
    <row r="11" spans="1:7" ht="18.75" customHeight="1">
      <c r="A11" s="28"/>
      <c r="B11" s="494" t="s">
        <v>163</v>
      </c>
      <c r="C11" s="468"/>
      <c r="D11" s="468"/>
      <c r="E11" s="468"/>
      <c r="F11" s="468"/>
      <c r="G11" s="27"/>
    </row>
    <row r="12" spans="1:7" ht="11.25" customHeight="1">
      <c r="A12" s="28"/>
      <c r="B12" s="495"/>
      <c r="C12" s="468"/>
      <c r="D12" s="468"/>
      <c r="E12" s="468"/>
      <c r="F12" s="468"/>
      <c r="G12" s="27"/>
    </row>
    <row r="13" spans="1:7" ht="15" customHeight="1">
      <c r="A13" s="28"/>
      <c r="B13" s="496"/>
      <c r="C13" s="353"/>
      <c r="D13" s="353"/>
      <c r="E13" s="353"/>
      <c r="F13" s="353"/>
      <c r="G13" s="27"/>
    </row>
    <row r="14" spans="1:7" ht="22.5" customHeight="1">
      <c r="A14" s="28"/>
      <c r="B14" s="95" t="s">
        <v>101</v>
      </c>
      <c r="C14" s="459" t="s">
        <v>164</v>
      </c>
      <c r="D14" s="353"/>
      <c r="E14" s="353"/>
      <c r="F14" s="353"/>
      <c r="G14" s="27"/>
    </row>
    <row r="15" spans="1:7" ht="18.75" customHeight="1">
      <c r="A15" s="28"/>
      <c r="B15" s="497" t="s">
        <v>82</v>
      </c>
      <c r="C15" s="431"/>
      <c r="D15" s="431"/>
      <c r="E15" s="431"/>
      <c r="F15" s="432"/>
      <c r="G15" s="27"/>
    </row>
    <row r="16" spans="1:7" ht="18.75" customHeight="1">
      <c r="A16" s="28"/>
      <c r="B16" s="96">
        <v>1</v>
      </c>
      <c r="C16" s="97" t="s">
        <v>165</v>
      </c>
      <c r="D16" s="498" t="s">
        <v>48</v>
      </c>
      <c r="E16" s="400"/>
      <c r="F16" s="98" t="s">
        <v>166</v>
      </c>
      <c r="G16" s="27"/>
    </row>
    <row r="17" spans="1:7" ht="18.75" customHeight="1">
      <c r="A17" s="28"/>
      <c r="B17" s="99">
        <v>2</v>
      </c>
      <c r="C17" s="100" t="s">
        <v>167</v>
      </c>
      <c r="D17" s="492" t="s">
        <v>48</v>
      </c>
      <c r="E17" s="403"/>
      <c r="F17" s="101" t="s">
        <v>168</v>
      </c>
      <c r="G17" s="27"/>
    </row>
    <row r="18" spans="1:7" ht="18.75" customHeight="1">
      <c r="A18" s="28"/>
      <c r="B18" s="499" t="s">
        <v>169</v>
      </c>
      <c r="C18" s="431"/>
      <c r="D18" s="431"/>
      <c r="E18" s="431"/>
      <c r="F18" s="432"/>
      <c r="G18" s="27"/>
    </row>
    <row r="19" spans="1:7" ht="18.75" customHeight="1">
      <c r="A19" s="27"/>
      <c r="B19" s="102">
        <v>3</v>
      </c>
      <c r="C19" s="103" t="s">
        <v>170</v>
      </c>
      <c r="D19" s="493" t="s">
        <v>48</v>
      </c>
      <c r="E19" s="400"/>
      <c r="F19" s="104" t="s">
        <v>171</v>
      </c>
      <c r="G19" s="61"/>
    </row>
    <row r="20" spans="1:7" ht="11.25" customHeight="1">
      <c r="A20" s="28"/>
      <c r="B20" s="500"/>
      <c r="C20" s="345"/>
      <c r="D20" s="345"/>
      <c r="E20" s="345"/>
      <c r="F20" s="346"/>
      <c r="G20" s="27"/>
    </row>
    <row r="21" spans="1:7" ht="18.75" customHeight="1">
      <c r="A21" s="28"/>
      <c r="B21" s="501"/>
      <c r="C21" s="353"/>
      <c r="D21" s="353"/>
      <c r="E21" s="353"/>
      <c r="F21" s="353"/>
      <c r="G21" s="27"/>
    </row>
    <row r="22" spans="1:7" ht="22.5" customHeight="1">
      <c r="A22" s="28"/>
      <c r="B22" s="31" t="s">
        <v>45</v>
      </c>
      <c r="C22" s="459" t="s">
        <v>46</v>
      </c>
      <c r="D22" s="353"/>
      <c r="E22" s="353"/>
      <c r="F22" s="353"/>
      <c r="G22" s="105"/>
    </row>
    <row r="23" spans="1:7" ht="18.75" customHeight="1">
      <c r="A23" s="28"/>
      <c r="B23" s="502" t="s">
        <v>172</v>
      </c>
      <c r="C23" s="503"/>
      <c r="D23" s="505" t="s">
        <v>48</v>
      </c>
      <c r="E23" s="106">
        <v>1</v>
      </c>
      <c r="F23" s="107" t="s">
        <v>173</v>
      </c>
      <c r="G23" s="27"/>
    </row>
    <row r="24" spans="1:7" ht="18.75" customHeight="1">
      <c r="A24" s="28"/>
      <c r="B24" s="353"/>
      <c r="C24" s="504"/>
      <c r="D24" s="506"/>
      <c r="E24" s="106">
        <v>2</v>
      </c>
      <c r="F24" s="108" t="s">
        <v>174</v>
      </c>
      <c r="G24" s="27"/>
    </row>
    <row r="25" spans="1:7" ht="18.75" customHeight="1">
      <c r="A25" s="28"/>
      <c r="B25" s="353"/>
      <c r="C25" s="504"/>
      <c r="D25" s="506"/>
      <c r="E25" s="106">
        <v>3</v>
      </c>
      <c r="F25" s="108" t="s">
        <v>175</v>
      </c>
      <c r="G25" s="27"/>
    </row>
    <row r="26" spans="1:7" ht="18.75" customHeight="1">
      <c r="A26" s="28"/>
      <c r="B26" s="399"/>
      <c r="C26" s="441"/>
      <c r="D26" s="507"/>
      <c r="E26" s="106">
        <v>4</v>
      </c>
      <c r="F26" s="108" t="s">
        <v>176</v>
      </c>
      <c r="G26" s="27"/>
    </row>
    <row r="27" spans="1:7" ht="18.75" customHeight="1">
      <c r="A27" s="28"/>
      <c r="B27" s="508"/>
      <c r="C27" s="353"/>
      <c r="D27" s="353"/>
      <c r="E27" s="353"/>
      <c r="F27" s="353"/>
      <c r="G27" s="27"/>
    </row>
    <row r="28" spans="1:7" ht="15">
      <c r="A28" s="28"/>
      <c r="B28" s="509" t="s">
        <v>50</v>
      </c>
      <c r="C28" s="510"/>
      <c r="D28" s="36" t="s">
        <v>48</v>
      </c>
      <c r="E28" s="39">
        <v>1</v>
      </c>
      <c r="F28" s="41" t="s">
        <v>177</v>
      </c>
      <c r="G28" s="27"/>
    </row>
    <row r="29" spans="1:7" ht="11.25" customHeight="1">
      <c r="A29" s="28"/>
      <c r="B29" s="508"/>
      <c r="C29" s="353"/>
      <c r="D29" s="353"/>
      <c r="E29" s="353"/>
      <c r="F29" s="353"/>
      <c r="G29" s="27"/>
    </row>
    <row r="30" spans="1:7" ht="18.75" customHeight="1">
      <c r="A30" s="28"/>
      <c r="B30" s="501"/>
      <c r="C30" s="353"/>
      <c r="D30" s="353"/>
      <c r="E30" s="353"/>
      <c r="F30" s="353"/>
      <c r="G30" s="27"/>
    </row>
    <row r="31" spans="1:7" ht="22.5" customHeight="1">
      <c r="A31" s="28"/>
      <c r="B31" s="511" t="s">
        <v>178</v>
      </c>
      <c r="C31" s="353"/>
      <c r="D31" s="353"/>
      <c r="E31" s="353"/>
      <c r="F31" s="353"/>
      <c r="G31" s="27"/>
    </row>
    <row r="32" spans="1:7" ht="12.75">
      <c r="A32" s="109"/>
      <c r="B32" s="466" t="s">
        <v>179</v>
      </c>
      <c r="C32" s="364"/>
      <c r="D32" s="364"/>
      <c r="E32" s="364"/>
      <c r="F32" s="365"/>
      <c r="G32" s="110"/>
    </row>
    <row r="33" spans="1:7" ht="11.25" customHeight="1">
      <c r="A33" s="28"/>
      <c r="B33" s="446"/>
      <c r="C33" s="353"/>
      <c r="D33" s="353"/>
      <c r="E33" s="353"/>
      <c r="F33" s="353"/>
      <c r="G33" s="27"/>
    </row>
    <row r="34" spans="1:7" ht="18.75" customHeight="1">
      <c r="A34" s="28"/>
      <c r="B34" s="512" t="s">
        <v>180</v>
      </c>
      <c r="C34" s="364"/>
      <c r="D34" s="364"/>
      <c r="E34" s="364"/>
      <c r="F34" s="365"/>
      <c r="G34" s="27"/>
    </row>
    <row r="35" spans="1:7" ht="18.75" customHeight="1">
      <c r="A35" s="28"/>
      <c r="B35" s="513" t="s">
        <v>181</v>
      </c>
      <c r="C35" s="364"/>
      <c r="D35" s="365"/>
      <c r="E35" s="407" t="s">
        <v>182</v>
      </c>
      <c r="F35" s="365"/>
      <c r="G35" s="27"/>
    </row>
    <row r="36" spans="1:7" ht="11.25" customHeight="1">
      <c r="A36" s="28"/>
      <c r="B36" s="446"/>
      <c r="C36" s="353"/>
      <c r="D36" s="353"/>
      <c r="E36" s="353"/>
      <c r="F36" s="353"/>
      <c r="G36" s="27"/>
    </row>
    <row r="37" spans="1:7" ht="18.75" customHeight="1">
      <c r="A37" s="28"/>
      <c r="B37" s="514" t="s">
        <v>183</v>
      </c>
      <c r="C37" s="402"/>
      <c r="D37" s="402"/>
      <c r="E37" s="402"/>
      <c r="F37" s="403"/>
      <c r="G37" s="27"/>
    </row>
    <row r="38" spans="1:7" ht="18.75" customHeight="1">
      <c r="A38" s="112"/>
      <c r="B38" s="113" t="s">
        <v>184</v>
      </c>
      <c r="C38" s="515" t="s">
        <v>185</v>
      </c>
      <c r="D38" s="431"/>
      <c r="E38" s="431"/>
      <c r="F38" s="432"/>
      <c r="G38" s="114"/>
    </row>
    <row r="39" spans="1:7" ht="18.75" customHeight="1">
      <c r="A39" s="112"/>
      <c r="B39" s="113" t="s">
        <v>84</v>
      </c>
      <c r="C39" s="516" t="s">
        <v>186</v>
      </c>
      <c r="D39" s="431"/>
      <c r="E39" s="431"/>
      <c r="F39" s="432"/>
      <c r="G39" s="114"/>
    </row>
    <row r="40" spans="1:7" ht="18.75" customHeight="1">
      <c r="A40" s="28"/>
      <c r="B40" s="51" t="b">
        <v>0</v>
      </c>
      <c r="C40" s="517" t="s">
        <v>187</v>
      </c>
      <c r="D40" s="399"/>
      <c r="E40" s="399"/>
      <c r="F40" s="400"/>
      <c r="G40" s="27"/>
    </row>
    <row r="41" spans="1:7" ht="18.75" customHeight="1">
      <c r="A41" s="28"/>
      <c r="B41" s="52" t="b">
        <v>0</v>
      </c>
      <c r="C41" s="518" t="s">
        <v>188</v>
      </c>
      <c r="D41" s="345"/>
      <c r="E41" s="345"/>
      <c r="F41" s="346"/>
      <c r="G41" s="27"/>
    </row>
    <row r="42" spans="1:7" ht="11.25" customHeight="1">
      <c r="A42" s="28"/>
      <c r="B42" s="446"/>
      <c r="C42" s="353"/>
      <c r="D42" s="353"/>
      <c r="E42" s="353"/>
      <c r="F42" s="353"/>
      <c r="G42" s="27"/>
    </row>
    <row r="43" spans="1:7" ht="18.75" customHeight="1">
      <c r="A43" s="28"/>
      <c r="B43" s="514" t="s">
        <v>189</v>
      </c>
      <c r="C43" s="402"/>
      <c r="D43" s="402"/>
      <c r="E43" s="402"/>
      <c r="F43" s="403"/>
      <c r="G43" s="27"/>
    </row>
    <row r="44" spans="1:7" ht="18.75" customHeight="1">
      <c r="A44" s="112"/>
      <c r="B44" s="113" t="s">
        <v>184</v>
      </c>
      <c r="C44" s="519" t="s">
        <v>190</v>
      </c>
      <c r="D44" s="431"/>
      <c r="E44" s="431"/>
      <c r="F44" s="432"/>
      <c r="G44" s="114"/>
    </row>
    <row r="45" spans="1:7" ht="18.75" customHeight="1">
      <c r="A45" s="112"/>
      <c r="B45" s="113" t="s">
        <v>84</v>
      </c>
      <c r="C45" s="520" t="s">
        <v>191</v>
      </c>
      <c r="D45" s="431"/>
      <c r="E45" s="431"/>
      <c r="F45" s="432"/>
      <c r="G45" s="114"/>
    </row>
    <row r="46" spans="1:7" ht="12.75">
      <c r="A46" s="28"/>
      <c r="B46" s="51" t="b">
        <v>0</v>
      </c>
      <c r="C46" s="521" t="s">
        <v>192</v>
      </c>
      <c r="D46" s="399"/>
      <c r="E46" s="399"/>
      <c r="F46" s="400"/>
      <c r="G46" s="27"/>
    </row>
    <row r="47" spans="1:7" ht="18.75" customHeight="1">
      <c r="A47" s="28"/>
      <c r="B47" s="115"/>
      <c r="C47" s="522" t="s">
        <v>193</v>
      </c>
      <c r="D47" s="345"/>
      <c r="E47" s="345"/>
      <c r="F47" s="346"/>
      <c r="G47" s="27"/>
    </row>
    <row r="48" spans="1:7" ht="11.25" customHeight="1">
      <c r="A48" s="28"/>
      <c r="B48" s="446"/>
      <c r="C48" s="353"/>
      <c r="D48" s="353"/>
      <c r="E48" s="353"/>
      <c r="F48" s="353"/>
      <c r="G48" s="27"/>
    </row>
    <row r="49" spans="1:7" ht="15" customHeight="1">
      <c r="A49" s="28"/>
      <c r="B49" s="28"/>
      <c r="C49" s="28"/>
      <c r="D49" s="28"/>
      <c r="E49" s="28"/>
      <c r="F49" s="29"/>
      <c r="G49" s="27"/>
    </row>
    <row r="50" spans="1:7" ht="22.5" customHeight="1">
      <c r="A50" s="30"/>
      <c r="B50" s="390" t="s">
        <v>194</v>
      </c>
      <c r="C50" s="353"/>
      <c r="D50" s="353"/>
      <c r="E50" s="353"/>
      <c r="F50" s="465"/>
      <c r="G50" s="30"/>
    </row>
    <row r="51" spans="1:7" ht="12.75">
      <c r="A51" s="27"/>
      <c r="B51" s="558" t="s">
        <v>195</v>
      </c>
      <c r="C51" s="431"/>
      <c r="D51" s="431"/>
      <c r="E51" s="431"/>
      <c r="F51" s="432"/>
      <c r="G51" s="61"/>
    </row>
    <row r="52" spans="1:7" ht="18.75" customHeight="1">
      <c r="A52" s="27"/>
      <c r="B52" s="113" t="s">
        <v>84</v>
      </c>
      <c r="C52" s="559" t="s">
        <v>196</v>
      </c>
      <c r="D52" s="431"/>
      <c r="E52" s="431"/>
      <c r="F52" s="432"/>
      <c r="G52" s="61"/>
    </row>
    <row r="53" spans="1:7" ht="11.25" customHeight="1">
      <c r="A53" s="27"/>
      <c r="B53" s="560"/>
      <c r="C53" s="394"/>
      <c r="D53" s="394"/>
      <c r="E53" s="394"/>
      <c r="F53" s="396"/>
      <c r="G53" s="61"/>
    </row>
    <row r="54" spans="1:7" ht="18.75" customHeight="1">
      <c r="A54" s="27"/>
      <c r="B54" s="561" t="s">
        <v>197</v>
      </c>
      <c r="C54" s="353"/>
      <c r="D54" s="353"/>
      <c r="E54" s="353"/>
      <c r="F54" s="562"/>
      <c r="G54" s="61"/>
    </row>
    <row r="55" spans="1:7" ht="12.75">
      <c r="A55" s="27"/>
      <c r="B55" s="116" t="b">
        <v>0</v>
      </c>
      <c r="C55" s="563" t="s">
        <v>198</v>
      </c>
      <c r="D55" s="399"/>
      <c r="E55" s="399"/>
      <c r="F55" s="400"/>
      <c r="G55" s="61"/>
    </row>
    <row r="56" spans="1:7" ht="11.25" customHeight="1">
      <c r="A56" s="27"/>
      <c r="B56" s="564"/>
      <c r="C56" s="353"/>
      <c r="D56" s="353"/>
      <c r="E56" s="353"/>
      <c r="F56" s="353"/>
      <c r="G56" s="61"/>
    </row>
    <row r="57" spans="1:7" ht="18.75" customHeight="1">
      <c r="A57" s="27"/>
      <c r="B57" s="565" t="s">
        <v>77</v>
      </c>
      <c r="C57" s="504"/>
      <c r="D57" s="117"/>
      <c r="E57" s="566" t="s">
        <v>142</v>
      </c>
      <c r="F57" s="353"/>
      <c r="G57" s="61"/>
    </row>
    <row r="58" spans="1:7" ht="18.75" customHeight="1">
      <c r="A58" s="27"/>
      <c r="B58" s="118" t="s">
        <v>184</v>
      </c>
      <c r="C58" s="119" t="s">
        <v>199</v>
      </c>
      <c r="D58" s="567"/>
      <c r="E58" s="120" t="s">
        <v>184</v>
      </c>
      <c r="F58" s="119" t="s">
        <v>200</v>
      </c>
      <c r="G58" s="61"/>
    </row>
    <row r="59" spans="1:7" ht="25.5">
      <c r="A59" s="27"/>
      <c r="B59" s="116" t="b">
        <v>0</v>
      </c>
      <c r="C59" s="121" t="s">
        <v>201</v>
      </c>
      <c r="D59" s="353"/>
      <c r="E59" s="116" t="b">
        <v>0</v>
      </c>
      <c r="F59" s="122" t="s">
        <v>202</v>
      </c>
      <c r="G59" s="61"/>
    </row>
    <row r="60" spans="1:7" ht="25.5">
      <c r="A60" s="27"/>
      <c r="B60" s="116" t="b">
        <v>0</v>
      </c>
      <c r="C60" s="121" t="s">
        <v>203</v>
      </c>
      <c r="D60" s="353"/>
      <c r="E60" s="116" t="b">
        <v>0</v>
      </c>
      <c r="F60" s="122" t="s">
        <v>204</v>
      </c>
      <c r="G60" s="61"/>
    </row>
    <row r="61" spans="1:7" ht="25.5">
      <c r="A61" s="27"/>
      <c r="B61" s="116" t="b">
        <v>0</v>
      </c>
      <c r="C61" s="121" t="s">
        <v>205</v>
      </c>
      <c r="D61" s="353"/>
      <c r="E61" s="116" t="b">
        <v>0</v>
      </c>
      <c r="F61" s="122" t="s">
        <v>206</v>
      </c>
      <c r="G61" s="61"/>
    </row>
    <row r="62" spans="1:7" ht="51">
      <c r="A62" s="27"/>
      <c r="B62" s="116" t="b">
        <v>0</v>
      </c>
      <c r="C62" s="121" t="s">
        <v>207</v>
      </c>
      <c r="D62" s="353"/>
      <c r="E62" s="116" t="b">
        <v>0</v>
      </c>
      <c r="F62" s="122" t="s">
        <v>208</v>
      </c>
      <c r="G62" s="61"/>
    </row>
    <row r="63" spans="1:7" ht="11.25" customHeight="1">
      <c r="A63" s="27"/>
      <c r="B63" s="568"/>
      <c r="C63" s="353"/>
      <c r="D63" s="353"/>
      <c r="E63" s="353"/>
      <c r="F63" s="353"/>
      <c r="G63" s="61"/>
    </row>
    <row r="64" spans="1:7" ht="18.75" customHeight="1">
      <c r="A64" s="27"/>
      <c r="B64" s="569"/>
      <c r="C64" s="353"/>
      <c r="D64" s="353"/>
      <c r="E64" s="353"/>
      <c r="F64" s="353"/>
      <c r="G64" s="61"/>
    </row>
    <row r="65" spans="1:7" ht="22.5" customHeight="1">
      <c r="A65" s="123"/>
      <c r="B65" s="535" t="s">
        <v>209</v>
      </c>
      <c r="C65" s="536"/>
      <c r="D65" s="536"/>
      <c r="E65" s="536"/>
      <c r="F65" s="537"/>
      <c r="G65" s="124"/>
    </row>
    <row r="66" spans="1:7" ht="12.75">
      <c r="A66" s="125"/>
      <c r="B66" s="570" t="s">
        <v>672</v>
      </c>
      <c r="C66" s="431"/>
      <c r="D66" s="431"/>
      <c r="E66" s="431"/>
      <c r="F66" s="432"/>
      <c r="G66" s="61"/>
    </row>
    <row r="67" spans="1:7" ht="12.75">
      <c r="A67" s="125"/>
      <c r="B67" s="570" t="s">
        <v>210</v>
      </c>
      <c r="C67" s="431"/>
      <c r="D67" s="431"/>
      <c r="E67" s="431"/>
      <c r="F67" s="432"/>
      <c r="G67" s="61"/>
    </row>
    <row r="68" spans="1:7" ht="12.75">
      <c r="A68" s="125"/>
      <c r="B68" s="570" t="s">
        <v>211</v>
      </c>
      <c r="C68" s="431"/>
      <c r="D68" s="431"/>
      <c r="E68" s="431"/>
      <c r="F68" s="432"/>
      <c r="G68" s="61"/>
    </row>
    <row r="69" spans="1:7" ht="18.75" customHeight="1">
      <c r="A69" s="125"/>
      <c r="B69" s="113" t="s">
        <v>184</v>
      </c>
      <c r="C69" s="571" t="s">
        <v>212</v>
      </c>
      <c r="D69" s="431"/>
      <c r="E69" s="431"/>
      <c r="F69" s="432"/>
      <c r="G69" s="61"/>
    </row>
    <row r="70" spans="1:7" ht="11.25" customHeight="1">
      <c r="A70" s="125"/>
      <c r="B70" s="572"/>
      <c r="C70" s="353"/>
      <c r="D70" s="353"/>
      <c r="E70" s="353"/>
      <c r="F70" s="360"/>
      <c r="G70" s="61"/>
    </row>
    <row r="71" spans="1:7" ht="18.75" customHeight="1">
      <c r="A71" s="125"/>
      <c r="B71" s="126"/>
      <c r="C71" s="573" t="s">
        <v>213</v>
      </c>
      <c r="D71" s="432"/>
      <c r="E71" s="573" t="s">
        <v>214</v>
      </c>
      <c r="F71" s="432"/>
      <c r="G71" s="61"/>
    </row>
    <row r="72" spans="1:7" ht="18.75" customHeight="1">
      <c r="A72" s="125"/>
      <c r="B72" s="127" t="b">
        <v>0</v>
      </c>
      <c r="C72" s="574" t="s">
        <v>215</v>
      </c>
      <c r="D72" s="400"/>
      <c r="E72" s="526"/>
      <c r="F72" s="400"/>
      <c r="G72" s="61"/>
    </row>
    <row r="73" spans="1:7" ht="18.75" customHeight="1">
      <c r="A73" s="125"/>
      <c r="B73" s="128" t="b">
        <v>0</v>
      </c>
      <c r="C73" s="575" t="s">
        <v>216</v>
      </c>
      <c r="D73" s="346"/>
      <c r="E73" s="485"/>
      <c r="F73" s="346"/>
      <c r="G73" s="61"/>
    </row>
    <row r="74" spans="1:7" ht="18.75" customHeight="1">
      <c r="A74" s="125"/>
      <c r="B74" s="128" t="b">
        <v>0</v>
      </c>
      <c r="C74" s="575" t="s">
        <v>217</v>
      </c>
      <c r="D74" s="346"/>
      <c r="E74" s="485"/>
      <c r="F74" s="346"/>
      <c r="G74" s="61"/>
    </row>
    <row r="75" spans="1:7" ht="18.75" customHeight="1">
      <c r="A75" s="125"/>
      <c r="B75" s="128" t="b">
        <v>0</v>
      </c>
      <c r="C75" s="575" t="s">
        <v>218</v>
      </c>
      <c r="D75" s="346"/>
      <c r="E75" s="485"/>
      <c r="F75" s="346"/>
      <c r="G75" s="61"/>
    </row>
    <row r="76" spans="1:7" ht="18.75" customHeight="1">
      <c r="A76" s="125"/>
      <c r="B76" s="128" t="b">
        <v>0</v>
      </c>
      <c r="C76" s="575" t="s">
        <v>219</v>
      </c>
      <c r="D76" s="346"/>
      <c r="E76" s="485"/>
      <c r="F76" s="346"/>
      <c r="G76" s="61"/>
    </row>
    <row r="77" spans="1:7" ht="18.75" customHeight="1">
      <c r="A77" s="125"/>
      <c r="B77" s="128" t="b">
        <v>0</v>
      </c>
      <c r="C77" s="575" t="s">
        <v>220</v>
      </c>
      <c r="D77" s="346"/>
      <c r="E77" s="485"/>
      <c r="F77" s="346"/>
      <c r="G77" s="61"/>
    </row>
    <row r="78" spans="1:7" ht="18.75" customHeight="1">
      <c r="A78" s="125"/>
      <c r="B78" s="128" t="b">
        <v>0</v>
      </c>
      <c r="C78" s="575" t="s">
        <v>221</v>
      </c>
      <c r="D78" s="346"/>
      <c r="E78" s="485"/>
      <c r="F78" s="346"/>
      <c r="G78" s="61"/>
    </row>
    <row r="79" spans="1:7" ht="18.75" customHeight="1">
      <c r="A79" s="125"/>
      <c r="B79" s="128" t="b">
        <v>0</v>
      </c>
      <c r="C79" s="575" t="s">
        <v>222</v>
      </c>
      <c r="D79" s="346"/>
      <c r="E79" s="485"/>
      <c r="F79" s="346"/>
      <c r="G79" s="61"/>
    </row>
    <row r="80" spans="1:7" ht="18.75" customHeight="1">
      <c r="A80" s="125"/>
      <c r="B80" s="128" t="b">
        <v>0</v>
      </c>
      <c r="C80" s="575" t="s">
        <v>223</v>
      </c>
      <c r="D80" s="346"/>
      <c r="E80" s="485"/>
      <c r="F80" s="346"/>
      <c r="G80" s="61"/>
    </row>
    <row r="81" spans="1:7" ht="18.75" customHeight="1">
      <c r="A81" s="125"/>
      <c r="B81" s="128" t="b">
        <v>0</v>
      </c>
      <c r="C81" s="575" t="s">
        <v>224</v>
      </c>
      <c r="D81" s="346"/>
      <c r="E81" s="485"/>
      <c r="F81" s="346"/>
      <c r="G81" s="61"/>
    </row>
    <row r="82" spans="1:7" ht="11.25" customHeight="1">
      <c r="A82" s="125"/>
      <c r="B82" s="523"/>
      <c r="C82" s="394"/>
      <c r="D82" s="394"/>
      <c r="E82" s="394"/>
      <c r="F82" s="396"/>
      <c r="G82" s="61"/>
    </row>
    <row r="83" spans="1:7" ht="18.75" customHeight="1">
      <c r="A83" s="125"/>
      <c r="B83" s="524" t="s">
        <v>225</v>
      </c>
      <c r="C83" s="364"/>
      <c r="D83" s="364"/>
      <c r="E83" s="364"/>
      <c r="F83" s="365"/>
      <c r="G83" s="61"/>
    </row>
    <row r="84" spans="1:7" ht="18.75" customHeight="1">
      <c r="A84" s="125"/>
      <c r="B84" s="111" t="s">
        <v>226</v>
      </c>
      <c r="C84" s="525" t="s">
        <v>227</v>
      </c>
      <c r="D84" s="364"/>
      <c r="E84" s="364"/>
      <c r="F84" s="365"/>
      <c r="G84" s="61"/>
    </row>
    <row r="85" spans="1:7" ht="18.75" customHeight="1">
      <c r="A85" s="125"/>
      <c r="B85" s="127" t="b">
        <v>0</v>
      </c>
      <c r="C85" s="526" t="s">
        <v>228</v>
      </c>
      <c r="D85" s="399"/>
      <c r="E85" s="399"/>
      <c r="F85" s="400"/>
      <c r="G85" s="61"/>
    </row>
    <row r="86" spans="1:7" ht="11.25" customHeight="1">
      <c r="A86" s="125"/>
      <c r="B86" s="523"/>
      <c r="C86" s="394"/>
      <c r="D86" s="394"/>
      <c r="E86" s="394"/>
      <c r="F86" s="396"/>
      <c r="G86" s="61"/>
    </row>
    <row r="87" spans="1:7" ht="18.75" customHeight="1">
      <c r="A87" s="125"/>
      <c r="B87" s="527" t="s">
        <v>229</v>
      </c>
      <c r="C87" s="394"/>
      <c r="D87" s="394"/>
      <c r="E87" s="394"/>
      <c r="F87" s="396"/>
      <c r="G87" s="61"/>
    </row>
    <row r="88" spans="1:7" ht="18.75" customHeight="1">
      <c r="A88" s="125"/>
      <c r="B88" s="111" t="s">
        <v>226</v>
      </c>
      <c r="C88" s="528" t="s">
        <v>230</v>
      </c>
      <c r="D88" s="431"/>
      <c r="E88" s="431"/>
      <c r="F88" s="432"/>
      <c r="G88" s="61"/>
    </row>
    <row r="89" spans="1:7" ht="18.75" customHeight="1">
      <c r="A89" s="125"/>
      <c r="B89" s="128" t="b">
        <v>0</v>
      </c>
      <c r="C89" s="529" t="s">
        <v>231</v>
      </c>
      <c r="D89" s="399"/>
      <c r="E89" s="399"/>
      <c r="F89" s="400"/>
      <c r="G89" s="61"/>
    </row>
    <row r="90" spans="1:7" ht="11.25" customHeight="1">
      <c r="A90" s="27"/>
      <c r="B90" s="530"/>
      <c r="C90" s="394"/>
      <c r="D90" s="394"/>
      <c r="E90" s="394"/>
      <c r="F90" s="396"/>
      <c r="G90" s="61"/>
    </row>
    <row r="91" spans="1:7" ht="18.75" customHeight="1">
      <c r="A91" s="27"/>
      <c r="B91" s="527" t="s">
        <v>232</v>
      </c>
      <c r="C91" s="394"/>
      <c r="D91" s="394"/>
      <c r="E91" s="394"/>
      <c r="F91" s="396"/>
      <c r="G91" s="61"/>
    </row>
    <row r="92" spans="1:7" ht="18.75" customHeight="1">
      <c r="A92" s="27"/>
      <c r="B92" s="130" t="s">
        <v>226</v>
      </c>
      <c r="C92" s="531" t="s">
        <v>233</v>
      </c>
      <c r="D92" s="364"/>
      <c r="E92" s="364"/>
      <c r="F92" s="365"/>
      <c r="G92" s="61"/>
    </row>
    <row r="93" spans="1:7" ht="18.75" customHeight="1">
      <c r="A93" s="27"/>
      <c r="B93" s="131" t="b">
        <v>0</v>
      </c>
      <c r="C93" s="532" t="s">
        <v>234</v>
      </c>
      <c r="D93" s="411"/>
      <c r="E93" s="411"/>
      <c r="F93" s="412"/>
      <c r="G93" s="61"/>
    </row>
    <row r="94" spans="1:7" ht="18.75" customHeight="1">
      <c r="A94" s="27"/>
      <c r="B94" s="132"/>
      <c r="C94" s="576" t="s">
        <v>235</v>
      </c>
      <c r="D94" s="577"/>
      <c r="E94" s="577"/>
      <c r="F94" s="578"/>
      <c r="G94" s="61"/>
    </row>
    <row r="95" spans="1:7" ht="18.75" customHeight="1">
      <c r="A95" s="27"/>
      <c r="B95" s="69"/>
      <c r="C95" s="485" t="s">
        <v>236</v>
      </c>
      <c r="D95" s="345"/>
      <c r="E95" s="345"/>
      <c r="F95" s="346"/>
      <c r="G95" s="61"/>
    </row>
    <row r="96" spans="1:7" ht="18.75" customHeight="1">
      <c r="A96" s="27"/>
      <c r="B96" s="69"/>
      <c r="C96" s="485" t="s">
        <v>237</v>
      </c>
      <c r="D96" s="345"/>
      <c r="E96" s="345"/>
      <c r="F96" s="346"/>
      <c r="G96" s="61"/>
    </row>
    <row r="97" spans="1:7" ht="18.75" customHeight="1">
      <c r="A97" s="27"/>
      <c r="B97" s="128" t="b">
        <v>0</v>
      </c>
      <c r="C97" s="579" t="s">
        <v>238</v>
      </c>
      <c r="D97" s="345"/>
      <c r="E97" s="345"/>
      <c r="F97" s="346"/>
      <c r="G97" s="61"/>
    </row>
    <row r="98" spans="1:7" ht="11.25" customHeight="1">
      <c r="A98" s="27"/>
      <c r="B98" s="530"/>
      <c r="C98" s="394"/>
      <c r="D98" s="394"/>
      <c r="E98" s="394"/>
      <c r="F98" s="396"/>
      <c r="G98" s="61"/>
    </row>
    <row r="99" spans="1:7" ht="18.75" customHeight="1">
      <c r="A99" s="27"/>
      <c r="B99" s="527" t="s">
        <v>239</v>
      </c>
      <c r="C99" s="394"/>
      <c r="D99" s="394"/>
      <c r="E99" s="394"/>
      <c r="F99" s="396"/>
      <c r="G99" s="61"/>
    </row>
    <row r="100" spans="1:7" ht="12.75">
      <c r="A100" s="27"/>
      <c r="B100" s="580" t="s">
        <v>240</v>
      </c>
      <c r="C100" s="394"/>
      <c r="D100" s="394"/>
      <c r="E100" s="394"/>
      <c r="F100" s="396"/>
      <c r="G100" s="61"/>
    </row>
    <row r="101" spans="1:7" ht="18.75" customHeight="1">
      <c r="A101" s="27"/>
      <c r="B101" s="133" t="b">
        <v>0</v>
      </c>
      <c r="C101" s="416" t="s">
        <v>241</v>
      </c>
      <c r="D101" s="414"/>
      <c r="E101" s="414"/>
      <c r="F101" s="415"/>
      <c r="G101" s="61"/>
    </row>
    <row r="102" spans="1:7" ht="12.75">
      <c r="A102" s="27"/>
      <c r="B102" s="134"/>
      <c r="C102" s="416" t="s">
        <v>242</v>
      </c>
      <c r="D102" s="414"/>
      <c r="E102" s="414"/>
      <c r="F102" s="415"/>
      <c r="G102" s="61"/>
    </row>
    <row r="103" spans="1:7" ht="11.25" customHeight="1">
      <c r="A103" s="27"/>
      <c r="B103" s="533"/>
      <c r="C103" s="353"/>
      <c r="D103" s="353"/>
      <c r="E103" s="353"/>
      <c r="F103" s="353"/>
      <c r="G103" s="61"/>
    </row>
    <row r="104" spans="1:7" ht="18.75" customHeight="1">
      <c r="A104" s="27"/>
      <c r="B104" s="534"/>
      <c r="C104" s="353"/>
      <c r="D104" s="353"/>
      <c r="E104" s="353"/>
      <c r="F104" s="353"/>
      <c r="G104" s="61"/>
    </row>
    <row r="105" spans="1:7" ht="22.5" customHeight="1">
      <c r="A105" s="27"/>
      <c r="B105" s="535" t="s">
        <v>243</v>
      </c>
      <c r="C105" s="536"/>
      <c r="D105" s="536"/>
      <c r="E105" s="536"/>
      <c r="F105" s="537"/>
      <c r="G105" s="61"/>
    </row>
    <row r="106" spans="1:7" ht="18.75" customHeight="1">
      <c r="A106" s="27"/>
      <c r="B106" s="135" t="s">
        <v>226</v>
      </c>
      <c r="C106" s="538" t="s">
        <v>244</v>
      </c>
      <c r="D106" s="539"/>
      <c r="E106" s="539"/>
      <c r="F106" s="539"/>
      <c r="G106" s="136"/>
    </row>
    <row r="107" spans="1:7" ht="11.25" customHeight="1">
      <c r="A107" s="27"/>
      <c r="B107" s="540"/>
      <c r="C107" s="353"/>
      <c r="D107" s="353"/>
      <c r="E107" s="353"/>
      <c r="F107" s="353"/>
      <c r="G107" s="137"/>
    </row>
    <row r="108" spans="1:7" ht="18.75" customHeight="1">
      <c r="A108" s="27"/>
      <c r="B108" s="541" t="s">
        <v>245</v>
      </c>
      <c r="C108" s="542"/>
      <c r="D108" s="542"/>
      <c r="E108" s="542"/>
      <c r="F108" s="543"/>
      <c r="G108" s="61"/>
    </row>
    <row r="109" spans="1:7" ht="18.75" customHeight="1">
      <c r="A109" s="27"/>
      <c r="B109" s="544" t="s">
        <v>246</v>
      </c>
      <c r="C109" s="394"/>
      <c r="D109" s="394"/>
      <c r="E109" s="394"/>
      <c r="F109" s="396"/>
      <c r="G109" s="61"/>
    </row>
    <row r="110" spans="1:7" ht="18.75" customHeight="1">
      <c r="A110" s="27"/>
      <c r="B110" s="545" t="s">
        <v>247</v>
      </c>
      <c r="C110" s="353"/>
      <c r="D110" s="353"/>
      <c r="E110" s="353"/>
      <c r="F110" s="353"/>
      <c r="G110" s="61"/>
    </row>
    <row r="111" spans="1:7" ht="18.75" customHeight="1">
      <c r="A111" s="27"/>
      <c r="B111" s="69" t="b">
        <v>0</v>
      </c>
      <c r="C111" s="485" t="s">
        <v>248</v>
      </c>
      <c r="D111" s="345"/>
      <c r="E111" s="345"/>
      <c r="F111" s="346"/>
      <c r="G111" s="61"/>
    </row>
    <row r="112" spans="1:7" ht="18.75" customHeight="1">
      <c r="A112" s="27"/>
      <c r="B112" s="69" t="b">
        <v>0</v>
      </c>
      <c r="C112" s="485" t="s">
        <v>249</v>
      </c>
      <c r="D112" s="345"/>
      <c r="E112" s="345"/>
      <c r="F112" s="346"/>
      <c r="G112" s="61"/>
    </row>
    <row r="113" spans="1:7" ht="7.5" customHeight="1">
      <c r="A113" s="27"/>
      <c r="B113" s="540"/>
      <c r="C113" s="353"/>
      <c r="D113" s="353"/>
      <c r="E113" s="353"/>
      <c r="F113" s="353"/>
      <c r="G113" s="61"/>
    </row>
    <row r="114" spans="1:7" ht="18.75" customHeight="1">
      <c r="A114" s="27"/>
      <c r="B114" s="546" t="s">
        <v>250</v>
      </c>
      <c r="C114" s="364"/>
      <c r="D114" s="364"/>
      <c r="E114" s="364"/>
      <c r="F114" s="365"/>
      <c r="G114" s="61"/>
    </row>
    <row r="115" spans="1:7" ht="18.75" customHeight="1">
      <c r="A115" s="27"/>
      <c r="B115" s="134" t="b">
        <v>0</v>
      </c>
      <c r="C115" s="413" t="s">
        <v>251</v>
      </c>
      <c r="D115" s="414"/>
      <c r="E115" s="414"/>
      <c r="F115" s="415"/>
      <c r="G115" s="61"/>
    </row>
    <row r="116" spans="1:7" ht="18.75" customHeight="1">
      <c r="A116" s="27"/>
      <c r="B116" s="134" t="b">
        <v>0</v>
      </c>
      <c r="C116" s="416" t="s">
        <v>252</v>
      </c>
      <c r="D116" s="414"/>
      <c r="E116" s="414"/>
      <c r="F116" s="415"/>
      <c r="G116" s="61"/>
    </row>
    <row r="117" spans="1:7" ht="11.25" customHeight="1">
      <c r="A117" s="27"/>
      <c r="B117" s="553"/>
      <c r="C117" s="353"/>
      <c r="D117" s="353"/>
      <c r="E117" s="353"/>
      <c r="F117" s="353"/>
      <c r="G117" s="61"/>
    </row>
    <row r="118" spans="1:7" ht="18.75" customHeight="1">
      <c r="A118" s="27"/>
      <c r="B118" s="554" t="s">
        <v>253</v>
      </c>
      <c r="C118" s="555"/>
      <c r="D118" s="555"/>
      <c r="E118" s="555"/>
      <c r="F118" s="556"/>
      <c r="G118" s="61"/>
    </row>
    <row r="119" spans="1:7" ht="18.75" customHeight="1">
      <c r="A119" s="27"/>
      <c r="B119" s="557" t="s">
        <v>254</v>
      </c>
      <c r="C119" s="353"/>
      <c r="D119" s="353"/>
      <c r="E119" s="353"/>
      <c r="F119" s="353"/>
      <c r="G119" s="61"/>
    </row>
    <row r="120" spans="1:7" ht="18.75" customHeight="1">
      <c r="A120" s="27"/>
      <c r="B120" s="63" t="b">
        <v>0</v>
      </c>
      <c r="C120" s="416" t="str">
        <f>CONCATENATE("Escreva a notificação de ''Faltam 7 dias'' e se programe para enviar para a sua lista de inscritos no dia ",TEXT(SUMÁRIO!D7-14,"DD/MM"))</f>
        <v>Escreva a notificação de ''Faltam 7 dias'' e se programe para enviar para a sua lista de inscritos no dia 10/02</v>
      </c>
      <c r="D120" s="414"/>
      <c r="E120" s="414"/>
      <c r="F120" s="415"/>
      <c r="G120" s="61"/>
    </row>
    <row r="121" spans="1:7" ht="18.75" customHeight="1">
      <c r="A121" s="27"/>
      <c r="B121" s="63" t="b">
        <v>0</v>
      </c>
      <c r="C121" s="547" t="str">
        <f>CONCATENATE("2. Escreva a notificação de ''Faltam 4 dias'' e se programe para enviar para a lista de inscritos no dia ",TEXT(SUMÁRIO!D7-11,"DD/MM"))</f>
        <v>2. Escreva a notificação de ''Faltam 4 dias'' e se programe para enviar para a lista de inscritos no dia 13/02</v>
      </c>
      <c r="D121" s="414"/>
      <c r="E121" s="414"/>
      <c r="F121" s="415"/>
      <c r="G121" s="61"/>
    </row>
    <row r="122" spans="1:7" ht="18.75" customHeight="1">
      <c r="A122" s="27"/>
      <c r="B122" s="63" t="b">
        <v>0</v>
      </c>
      <c r="C122" s="547" t="str">
        <f>CONCATENATE("3. Escreva a notificação de ''É Amanhã'' e se programe para enviar para a lista de inscritos no dia no dia ",TEXT(SUMÁRIO!D7-8,"DD/MM"))</f>
        <v>3. Escreva a notificação de ''É Amanhã'' e se programe para enviar para a lista de inscritos no dia no dia 16/02</v>
      </c>
      <c r="D122" s="414"/>
      <c r="E122" s="414"/>
      <c r="F122" s="415"/>
      <c r="G122" s="61"/>
    </row>
    <row r="123" spans="1:7" ht="11.25" customHeight="1">
      <c r="A123" s="27"/>
      <c r="B123" s="548"/>
      <c r="C123" s="353"/>
      <c r="D123" s="353"/>
      <c r="E123" s="353"/>
      <c r="F123" s="360"/>
      <c r="G123" s="61"/>
    </row>
    <row r="124" spans="1:7" ht="18.75" customHeight="1">
      <c r="A124" s="27"/>
      <c r="B124" s="549" t="s">
        <v>255</v>
      </c>
      <c r="C124" s="550"/>
      <c r="D124" s="550"/>
      <c r="E124" s="550"/>
      <c r="F124" s="551"/>
      <c r="G124" s="61"/>
    </row>
    <row r="125" spans="1:7" ht="18.75" customHeight="1">
      <c r="A125" s="27"/>
      <c r="B125" s="63" t="b">
        <v>0</v>
      </c>
      <c r="C125" s="416" t="str">
        <f>CONCATENATE("1. Escreva a notificação de ''Faltam 7 dias'' e se programe para enviar no dia ",TEXT(SUMÁRIO!D7-14,"DD/MM"))</f>
        <v>1. Escreva a notificação de ''Faltam 7 dias'' e se programe para enviar no dia 10/02</v>
      </c>
      <c r="D125" s="414"/>
      <c r="E125" s="414"/>
      <c r="F125" s="415"/>
      <c r="G125" s="61"/>
    </row>
    <row r="126" spans="1:7" ht="18.75" customHeight="1">
      <c r="A126" s="27"/>
      <c r="B126" s="63" t="b">
        <v>0</v>
      </c>
      <c r="C126" s="547" t="str">
        <f>CONCATENATE("2. Escreva a notificação de ''Faltam 4 dias'' e se programe para enviar no dia ",TEXT(SUMÁRIO!D7-11,"DD/MM"))</f>
        <v>2. Escreva a notificação de ''Faltam 4 dias'' e se programe para enviar no dia 13/02</v>
      </c>
      <c r="D126" s="414"/>
      <c r="E126" s="414"/>
      <c r="F126" s="415"/>
      <c r="G126" s="61"/>
    </row>
    <row r="127" spans="1:7" ht="18.75" customHeight="1">
      <c r="A127" s="27"/>
      <c r="B127" s="63" t="b">
        <v>0</v>
      </c>
      <c r="C127" s="547" t="str">
        <f>CONCATENATE("3. Escreva a notificação de ''É Amanhã'' e se programe para enviar no dia ",TEXT(SUMÁRIO!D7-8,"DD/MM"))</f>
        <v>3. Escreva a notificação de ''É Amanhã'' e se programe para enviar no dia 16/02</v>
      </c>
      <c r="D127" s="414"/>
      <c r="E127" s="414"/>
      <c r="F127" s="415"/>
      <c r="G127" s="61"/>
    </row>
    <row r="128" spans="1:7" ht="11.25" customHeight="1">
      <c r="A128" s="27"/>
      <c r="B128" s="552"/>
      <c r="C128" s="353"/>
      <c r="D128" s="353"/>
      <c r="E128" s="353"/>
      <c r="F128" s="360"/>
      <c r="G128" s="61"/>
    </row>
    <row r="129" spans="1:7" ht="26.25" customHeight="1">
      <c r="A129" s="27"/>
      <c r="B129" s="447"/>
      <c r="C129" s="339"/>
      <c r="D129" s="339"/>
      <c r="E129" s="339"/>
      <c r="F129" s="340"/>
      <c r="G129" s="27"/>
    </row>
  </sheetData>
  <mergeCells count="132">
    <mergeCell ref="C76:D76"/>
    <mergeCell ref="E76:F76"/>
    <mergeCell ref="C77:D77"/>
    <mergeCell ref="E77:F77"/>
    <mergeCell ref="C78:D78"/>
    <mergeCell ref="E78:F78"/>
    <mergeCell ref="E79:F79"/>
    <mergeCell ref="C94:F94"/>
    <mergeCell ref="C95:F95"/>
    <mergeCell ref="B129:F129"/>
    <mergeCell ref="C115:F115"/>
    <mergeCell ref="C116:F116"/>
    <mergeCell ref="B117:F117"/>
    <mergeCell ref="B118:F118"/>
    <mergeCell ref="B119:F119"/>
    <mergeCell ref="C120:F120"/>
    <mergeCell ref="C121:F121"/>
    <mergeCell ref="B50:F50"/>
    <mergeCell ref="B51:F51"/>
    <mergeCell ref="C52:F52"/>
    <mergeCell ref="B53:F53"/>
    <mergeCell ref="B54:F54"/>
    <mergeCell ref="C55:F55"/>
    <mergeCell ref="B56:F56"/>
    <mergeCell ref="B57:C57"/>
    <mergeCell ref="E57:F57"/>
    <mergeCell ref="D58:D62"/>
    <mergeCell ref="B63:F63"/>
    <mergeCell ref="B64:F64"/>
    <mergeCell ref="B65:F65"/>
    <mergeCell ref="B66:F66"/>
    <mergeCell ref="B67:F67"/>
    <mergeCell ref="B68:F68"/>
    <mergeCell ref="B113:F113"/>
    <mergeCell ref="B114:F114"/>
    <mergeCell ref="C122:F122"/>
    <mergeCell ref="B123:F123"/>
    <mergeCell ref="B124:F124"/>
    <mergeCell ref="C125:F125"/>
    <mergeCell ref="C126:F126"/>
    <mergeCell ref="C127:F127"/>
    <mergeCell ref="B128:F128"/>
    <mergeCell ref="B104:F104"/>
    <mergeCell ref="B105:F105"/>
    <mergeCell ref="C106:F106"/>
    <mergeCell ref="B107:F107"/>
    <mergeCell ref="B108:F108"/>
    <mergeCell ref="B109:F109"/>
    <mergeCell ref="B110:F110"/>
    <mergeCell ref="C111:F111"/>
    <mergeCell ref="C112:F112"/>
    <mergeCell ref="C88:F88"/>
    <mergeCell ref="C89:F89"/>
    <mergeCell ref="B90:F90"/>
    <mergeCell ref="B91:F91"/>
    <mergeCell ref="C92:F92"/>
    <mergeCell ref="C93:F93"/>
    <mergeCell ref="C101:F101"/>
    <mergeCell ref="C102:F102"/>
    <mergeCell ref="B103:F103"/>
    <mergeCell ref="C96:F96"/>
    <mergeCell ref="C97:F97"/>
    <mergeCell ref="B98:F98"/>
    <mergeCell ref="B99:F99"/>
    <mergeCell ref="B100:F100"/>
    <mergeCell ref="B48:F48"/>
    <mergeCell ref="E80:F80"/>
    <mergeCell ref="E81:F81"/>
    <mergeCell ref="B82:F82"/>
    <mergeCell ref="B83:F83"/>
    <mergeCell ref="C84:F84"/>
    <mergeCell ref="C85:F85"/>
    <mergeCell ref="B86:F86"/>
    <mergeCell ref="B87:F87"/>
    <mergeCell ref="C69:F69"/>
    <mergeCell ref="B70:F70"/>
    <mergeCell ref="C71:D71"/>
    <mergeCell ref="E71:F71"/>
    <mergeCell ref="E72:F72"/>
    <mergeCell ref="C72:D72"/>
    <mergeCell ref="C73:D73"/>
    <mergeCell ref="E73:F73"/>
    <mergeCell ref="C74:D74"/>
    <mergeCell ref="E74:F74"/>
    <mergeCell ref="C75:D75"/>
    <mergeCell ref="E75:F75"/>
    <mergeCell ref="C79:D79"/>
    <mergeCell ref="C80:D80"/>
    <mergeCell ref="C81:D81"/>
    <mergeCell ref="C39:F39"/>
    <mergeCell ref="C40:F40"/>
    <mergeCell ref="C41:F41"/>
    <mergeCell ref="B42:F42"/>
    <mergeCell ref="B43:F43"/>
    <mergeCell ref="C44:F44"/>
    <mergeCell ref="C45:F45"/>
    <mergeCell ref="C46:F46"/>
    <mergeCell ref="C47:F47"/>
    <mergeCell ref="B31:F31"/>
    <mergeCell ref="B32:F32"/>
    <mergeCell ref="B33:F33"/>
    <mergeCell ref="B34:F34"/>
    <mergeCell ref="E35:F35"/>
    <mergeCell ref="B35:D35"/>
    <mergeCell ref="B36:F36"/>
    <mergeCell ref="B37:F37"/>
    <mergeCell ref="C38:F38"/>
    <mergeCell ref="B20:F20"/>
    <mergeCell ref="B21:F21"/>
    <mergeCell ref="C22:F22"/>
    <mergeCell ref="B23:C26"/>
    <mergeCell ref="D23:D26"/>
    <mergeCell ref="B27:F27"/>
    <mergeCell ref="B28:C28"/>
    <mergeCell ref="B29:F29"/>
    <mergeCell ref="B30:F30"/>
    <mergeCell ref="A1:G1"/>
    <mergeCell ref="A2:G2"/>
    <mergeCell ref="B3:B5"/>
    <mergeCell ref="C4:F4"/>
    <mergeCell ref="C8:F8"/>
    <mergeCell ref="B9:F9"/>
    <mergeCell ref="B10:F10"/>
    <mergeCell ref="D17:E17"/>
    <mergeCell ref="D19:E19"/>
    <mergeCell ref="B11:F11"/>
    <mergeCell ref="B12:F12"/>
    <mergeCell ref="B13:F13"/>
    <mergeCell ref="C14:F14"/>
    <mergeCell ref="B15:F15"/>
    <mergeCell ref="D16:E16"/>
    <mergeCell ref="B18:F18"/>
  </mergeCells>
  <hyperlinks>
    <hyperlink ref="F16" r:id="rId1" xr:uid="{00000000-0004-0000-0200-000000000000}"/>
    <hyperlink ref="F17" r:id="rId2" xr:uid="{00000000-0004-0000-0200-000001000000}"/>
    <hyperlink ref="F19" r:id="rId3" xr:uid="{00000000-0004-0000-0200-000002000000}"/>
    <hyperlink ref="C38" location="'Preparação'!F23" display="Utilize o documento 1, listado no início desta seção, para roteirizar o conteúdo raíz " xr:uid="{00000000-0004-0000-0200-000003000000}"/>
    <hyperlink ref="C39" location="'Preparação'!C16" display="Material complementar - Conteúdo Raíz " xr:uid="{00000000-0004-0000-0200-000004000000}"/>
    <hyperlink ref="C44" location="'Preparação'!F23" display="Utilize o documento 1, listado no início desta seção, para roteirizar seus reels" xr:uid="{00000000-0004-0000-0200-000005000000}"/>
    <hyperlink ref="C45" location="'Preparação'!C17" display="Material complementar - Reels" xr:uid="{00000000-0004-0000-0200-000006000000}"/>
    <hyperlink ref="C52" location="'Preparação'!C19" display="Material complementar - Distribuição de Conteúdo" xr:uid="{00000000-0004-0000-0200-000007000000}"/>
    <hyperlink ref="C58" location="'Preparação'!F24" display="Utilize o documento 2, para planilhar as métricas dos reels" xr:uid="{00000000-0004-0000-0200-000008000000}"/>
    <hyperlink ref="F58" location="'Preparação'!F25" display="Utilize o documento 3, para planilhar os conteúdos distribuídos" xr:uid="{00000000-0004-0000-0200-000009000000}"/>
    <hyperlink ref="C69" location="'Preparação'!F26" display="Use o documento 4 listado em Materiais de Apoio descrito no início dessa seção. " xr:uid="{00000000-0004-0000-0200-00000A000000}"/>
    <hyperlink ref="C106" location="'Preparação'!F28" display="As copies de todas as mensagens estão disponíveis em seu Launch Drive." xr:uid="{00000000-0004-0000-0200-00000B000000}"/>
  </hyperlinks>
  <pageMargins left="0.511811024" right="0.511811024" top="0.78740157499999996" bottom="0.78740157499999996" header="0.31496062000000002" footer="0.31496062000000002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4C2F4"/>
    <outlinePr summaryBelow="0" summaryRight="0"/>
  </sheetPr>
  <dimension ref="A1:G394"/>
  <sheetViews>
    <sheetView workbookViewId="0">
      <pane ySplit="6" topLeftCell="A7" activePane="bottomLeft" state="frozen"/>
      <selection pane="bottomLeft" activeCell="B8" sqref="B8"/>
    </sheetView>
  </sheetViews>
  <sheetFormatPr defaultColWidth="12.59765625" defaultRowHeight="15.75" customHeight="1"/>
  <cols>
    <col min="1" max="1" width="4.3984375" customWidth="1"/>
    <col min="2" max="2" width="3.86328125" customWidth="1"/>
    <col min="3" max="3" width="61.1328125" customWidth="1"/>
    <col min="4" max="5" width="4.3984375" customWidth="1"/>
    <col min="6" max="6" width="61.1328125" customWidth="1"/>
    <col min="7" max="7" width="4.3984375" customWidth="1"/>
  </cols>
  <sheetData>
    <row r="1" spans="1:7" ht="41.25" customHeight="1">
      <c r="A1" s="486" t="str">
        <f>CONCATENATE("Captação e Aquecimento de Leads - ",TEXT(SUMÁRIO!$D$7-21,"DD/MM")," até ",TEXT(SUMÁRIO!$D$7-8,"DD/MM"),)</f>
        <v>Captação e Aquecimento de Leads - 03/02 até 16/02</v>
      </c>
      <c r="B1" s="487"/>
      <c r="C1" s="487"/>
      <c r="D1" s="487"/>
      <c r="E1" s="487"/>
      <c r="F1" s="487"/>
      <c r="G1" s="488"/>
    </row>
    <row r="2" spans="1:7" ht="16.5" customHeight="1">
      <c r="A2" s="636" t="s">
        <v>44</v>
      </c>
      <c r="B2" s="339"/>
      <c r="C2" s="339"/>
      <c r="D2" s="339"/>
      <c r="E2" s="339"/>
      <c r="F2" s="339"/>
      <c r="G2" s="340"/>
    </row>
    <row r="3" spans="1:7" ht="6" customHeight="1">
      <c r="A3" s="139"/>
      <c r="B3" s="455">
        <f>(COUNTIF(B42:B394,TRUE)/87)</f>
        <v>0</v>
      </c>
      <c r="C3" s="637"/>
      <c r="D3" s="339"/>
      <c r="E3" s="339"/>
      <c r="F3" s="340"/>
      <c r="G3" s="21"/>
    </row>
    <row r="4" spans="1:7" ht="6" customHeight="1">
      <c r="A4" s="139"/>
      <c r="B4" s="456"/>
      <c r="C4" s="458" t="str">
        <f ca="1">IFERROR(__xludf.DUMMYFUNCTION("SPARKLINE(B3,{""charttype"",""bar"";""color1"",""#38a036"";""max"",1})"),"")</f>
        <v/>
      </c>
      <c r="D4" s="339"/>
      <c r="E4" s="339"/>
      <c r="F4" s="340"/>
      <c r="G4" s="140"/>
    </row>
    <row r="5" spans="1:7" ht="6" customHeight="1">
      <c r="A5" s="139"/>
      <c r="B5" s="457"/>
      <c r="C5" s="26"/>
      <c r="D5" s="140"/>
      <c r="E5" s="140"/>
      <c r="F5" s="140"/>
      <c r="G5" s="140"/>
    </row>
    <row r="6" spans="1:7" ht="6" customHeight="1">
      <c r="A6" s="139"/>
      <c r="B6" s="93"/>
      <c r="C6" s="20"/>
      <c r="D6" s="638"/>
      <c r="E6" s="339"/>
      <c r="F6" s="340"/>
      <c r="G6" s="21"/>
    </row>
    <row r="7" spans="1:7" ht="22.5" customHeight="1">
      <c r="A7" s="141"/>
      <c r="B7" s="142"/>
      <c r="C7" s="142"/>
      <c r="D7" s="143"/>
      <c r="E7" s="61"/>
      <c r="F7" s="144"/>
      <c r="G7" s="145"/>
    </row>
    <row r="8" spans="1:7" ht="22.5" customHeight="1">
      <c r="A8" s="30"/>
      <c r="B8" s="94"/>
      <c r="C8" s="489" t="s">
        <v>161</v>
      </c>
      <c r="D8" s="353"/>
      <c r="E8" s="353"/>
      <c r="F8" s="353"/>
      <c r="G8" s="146"/>
    </row>
    <row r="9" spans="1:7" ht="18.75" customHeight="1">
      <c r="A9" s="30"/>
      <c r="B9" s="639" t="s">
        <v>256</v>
      </c>
      <c r="C9" s="364"/>
      <c r="D9" s="364"/>
      <c r="E9" s="364"/>
      <c r="F9" s="365"/>
      <c r="G9" s="147"/>
    </row>
    <row r="10" spans="1:7" ht="18.75" customHeight="1">
      <c r="A10" s="30"/>
      <c r="B10" s="640" t="s">
        <v>257</v>
      </c>
      <c r="C10" s="364"/>
      <c r="D10" s="364"/>
      <c r="E10" s="364"/>
      <c r="F10" s="365"/>
      <c r="G10" s="148"/>
    </row>
    <row r="11" spans="1:7" ht="18.75" customHeight="1">
      <c r="A11" s="30"/>
      <c r="B11" s="640" t="s">
        <v>673</v>
      </c>
      <c r="C11" s="364"/>
      <c r="D11" s="364"/>
      <c r="E11" s="364"/>
      <c r="F11" s="365"/>
      <c r="G11" s="148"/>
    </row>
    <row r="12" spans="1:7" ht="11.25" customHeight="1">
      <c r="A12" s="30"/>
      <c r="B12" s="641"/>
      <c r="C12" s="364"/>
      <c r="D12" s="364"/>
      <c r="E12" s="364"/>
      <c r="F12" s="365"/>
      <c r="G12" s="30"/>
    </row>
    <row r="13" spans="1:7" ht="18.75" customHeight="1">
      <c r="A13" s="149"/>
      <c r="B13" s="642"/>
      <c r="C13" s="353"/>
      <c r="D13" s="353"/>
      <c r="E13" s="353"/>
      <c r="F13" s="353"/>
      <c r="G13" s="149"/>
    </row>
    <row r="14" spans="1:7" ht="22.5" customHeight="1">
      <c r="A14" s="150"/>
      <c r="B14" s="151" t="s">
        <v>101</v>
      </c>
      <c r="C14" s="628" t="s">
        <v>258</v>
      </c>
      <c r="D14" s="594"/>
      <c r="E14" s="594"/>
      <c r="F14" s="595"/>
      <c r="G14" s="152"/>
    </row>
    <row r="15" spans="1:7" ht="18.75" customHeight="1">
      <c r="A15" s="153"/>
      <c r="B15" s="643" t="s">
        <v>259</v>
      </c>
      <c r="C15" s="353"/>
      <c r="D15" s="353"/>
      <c r="E15" s="353"/>
      <c r="F15" s="353"/>
      <c r="G15" s="154"/>
    </row>
    <row r="16" spans="1:7" ht="12.75">
      <c r="A16" s="30"/>
      <c r="B16" s="155">
        <v>1</v>
      </c>
      <c r="C16" s="645" t="s">
        <v>260</v>
      </c>
      <c r="D16" s="415"/>
      <c r="E16" s="646" t="s">
        <v>48</v>
      </c>
      <c r="F16" s="156" t="s">
        <v>261</v>
      </c>
      <c r="G16" s="157"/>
    </row>
    <row r="17" spans="1:7" ht="12.75">
      <c r="A17" s="30"/>
      <c r="B17" s="158">
        <v>2</v>
      </c>
      <c r="C17" s="645" t="s">
        <v>262</v>
      </c>
      <c r="D17" s="415"/>
      <c r="E17" s="647"/>
      <c r="F17" s="159" t="s">
        <v>263</v>
      </c>
      <c r="G17" s="157"/>
    </row>
    <row r="18" spans="1:7" ht="11.25" customHeight="1">
      <c r="A18" s="30"/>
      <c r="B18" s="648"/>
      <c r="C18" s="411"/>
      <c r="D18" s="411"/>
      <c r="E18" s="411"/>
      <c r="F18" s="412"/>
      <c r="G18" s="157"/>
    </row>
    <row r="19" spans="1:7" ht="18.75" customHeight="1">
      <c r="A19" s="30"/>
      <c r="B19" s="499" t="s">
        <v>264</v>
      </c>
      <c r="C19" s="431"/>
      <c r="D19" s="431"/>
      <c r="E19" s="431"/>
      <c r="F19" s="432"/>
      <c r="G19" s="146"/>
    </row>
    <row r="20" spans="1:7" ht="18.75" customHeight="1">
      <c r="A20" s="30"/>
      <c r="B20" s="158">
        <v>3</v>
      </c>
      <c r="C20" s="644" t="s">
        <v>265</v>
      </c>
      <c r="D20" s="353"/>
      <c r="E20" s="649" t="s">
        <v>48</v>
      </c>
      <c r="F20" s="160" t="s">
        <v>266</v>
      </c>
      <c r="G20" s="146"/>
    </row>
    <row r="21" spans="1:7" ht="18.75" customHeight="1">
      <c r="A21" s="30"/>
      <c r="B21" s="158">
        <v>4</v>
      </c>
      <c r="C21" s="644" t="s">
        <v>267</v>
      </c>
      <c r="D21" s="353"/>
      <c r="E21" s="650"/>
      <c r="F21" s="161" t="s">
        <v>268</v>
      </c>
      <c r="G21" s="146"/>
    </row>
    <row r="22" spans="1:7" ht="18.75" customHeight="1">
      <c r="A22" s="30"/>
      <c r="B22" s="158">
        <v>5</v>
      </c>
      <c r="C22" s="644" t="s">
        <v>269</v>
      </c>
      <c r="D22" s="353"/>
      <c r="E22" s="650"/>
      <c r="F22" s="161" t="s">
        <v>270</v>
      </c>
      <c r="G22" s="146"/>
    </row>
    <row r="23" spans="1:7" ht="18.75" customHeight="1">
      <c r="A23" s="30"/>
      <c r="B23" s="158">
        <v>6</v>
      </c>
      <c r="C23" s="644" t="s">
        <v>271</v>
      </c>
      <c r="D23" s="353"/>
      <c r="E23" s="647"/>
      <c r="F23" s="161" t="s">
        <v>272</v>
      </c>
      <c r="G23" s="146"/>
    </row>
    <row r="24" spans="1:7" ht="11.25" customHeight="1">
      <c r="A24" s="30"/>
      <c r="B24" s="508"/>
      <c r="C24" s="353"/>
      <c r="D24" s="353"/>
      <c r="E24" s="353"/>
      <c r="F24" s="353"/>
      <c r="G24" s="146"/>
    </row>
    <row r="25" spans="1:7" ht="18.75" customHeight="1">
      <c r="A25" s="30"/>
      <c r="B25" s="651" t="s">
        <v>273</v>
      </c>
      <c r="C25" s="353"/>
      <c r="D25" s="353"/>
      <c r="E25" s="353"/>
      <c r="F25" s="353"/>
      <c r="G25" s="162"/>
    </row>
    <row r="26" spans="1:7" ht="18.75" customHeight="1">
      <c r="A26" s="30"/>
      <c r="B26" s="163">
        <v>7</v>
      </c>
      <c r="C26" s="652" t="s">
        <v>274</v>
      </c>
      <c r="D26" s="415"/>
      <c r="E26" s="653" t="s">
        <v>48</v>
      </c>
      <c r="F26" s="164" t="s">
        <v>275</v>
      </c>
      <c r="G26" s="165"/>
    </row>
    <row r="27" spans="1:7" ht="18.75" customHeight="1">
      <c r="A27" s="30"/>
      <c r="B27" s="166">
        <v>8</v>
      </c>
      <c r="C27" s="644" t="s">
        <v>276</v>
      </c>
      <c r="D27" s="353"/>
      <c r="E27" s="647"/>
      <c r="F27" s="161" t="s">
        <v>277</v>
      </c>
      <c r="G27" s="146"/>
    </row>
    <row r="28" spans="1:7" ht="11.25" customHeight="1">
      <c r="A28" s="30"/>
      <c r="B28" s="508"/>
      <c r="C28" s="353"/>
      <c r="D28" s="353"/>
      <c r="E28" s="353"/>
      <c r="F28" s="353"/>
      <c r="G28" s="146"/>
    </row>
    <row r="29" spans="1:7" ht="18.75" customHeight="1">
      <c r="A29" s="30"/>
      <c r="B29" s="501"/>
      <c r="C29" s="353"/>
      <c r="D29" s="353"/>
      <c r="E29" s="353"/>
      <c r="F29" s="353"/>
      <c r="G29" s="146"/>
    </row>
    <row r="30" spans="1:7" ht="22.5" customHeight="1">
      <c r="A30" s="30"/>
      <c r="B30" s="31" t="s">
        <v>45</v>
      </c>
      <c r="C30" s="628" t="s">
        <v>46</v>
      </c>
      <c r="D30" s="594"/>
      <c r="E30" s="594"/>
      <c r="F30" s="595"/>
      <c r="G30" s="167"/>
    </row>
    <row r="31" spans="1:7" ht="25.5">
      <c r="A31" s="30"/>
      <c r="B31" s="462" t="s">
        <v>50</v>
      </c>
      <c r="C31" s="402"/>
      <c r="D31" s="629" t="s">
        <v>48</v>
      </c>
      <c r="E31" s="35">
        <v>1</v>
      </c>
      <c r="F31" s="168" t="s">
        <v>278</v>
      </c>
      <c r="G31" s="169"/>
    </row>
    <row r="32" spans="1:7" ht="25.5">
      <c r="A32" s="30"/>
      <c r="B32" s="353"/>
      <c r="C32" s="353"/>
      <c r="D32" s="353"/>
      <c r="E32" s="35">
        <v>2</v>
      </c>
      <c r="F32" s="170" t="s">
        <v>674</v>
      </c>
      <c r="G32" s="146"/>
    </row>
    <row r="33" spans="1:7" ht="18.75" customHeight="1">
      <c r="A33" s="30"/>
      <c r="B33" s="353"/>
      <c r="C33" s="353"/>
      <c r="D33" s="353"/>
      <c r="E33" s="35">
        <v>3</v>
      </c>
      <c r="F33" s="41" t="s">
        <v>279</v>
      </c>
      <c r="G33" s="146"/>
    </row>
    <row r="34" spans="1:7" ht="18.75" customHeight="1">
      <c r="A34" s="30"/>
      <c r="B34" s="353"/>
      <c r="C34" s="353"/>
      <c r="D34" s="353"/>
      <c r="E34" s="35">
        <v>4</v>
      </c>
      <c r="F34" s="41" t="s">
        <v>280</v>
      </c>
      <c r="G34" s="146"/>
    </row>
    <row r="35" spans="1:7" ht="18.75" customHeight="1">
      <c r="A35" s="30"/>
      <c r="B35" s="353"/>
      <c r="C35" s="353"/>
      <c r="D35" s="353"/>
      <c r="E35" s="35">
        <v>5</v>
      </c>
      <c r="F35" s="171" t="s">
        <v>281</v>
      </c>
      <c r="G35" s="146"/>
    </row>
    <row r="36" spans="1:7" ht="18.75" customHeight="1">
      <c r="A36" s="30"/>
      <c r="B36" s="353"/>
      <c r="C36" s="353"/>
      <c r="D36" s="353"/>
      <c r="E36" s="35">
        <v>6</v>
      </c>
      <c r="F36" s="171" t="s">
        <v>282</v>
      </c>
      <c r="G36" s="146"/>
    </row>
    <row r="37" spans="1:7" ht="18.75" customHeight="1">
      <c r="A37" s="30"/>
      <c r="B37" s="353"/>
      <c r="C37" s="353"/>
      <c r="D37" s="172"/>
      <c r="E37" s="35">
        <v>7</v>
      </c>
      <c r="F37" s="41" t="s">
        <v>283</v>
      </c>
      <c r="G37" s="146"/>
    </row>
    <row r="38" spans="1:7" ht="11.25" customHeight="1">
      <c r="A38" s="30"/>
      <c r="B38" s="630"/>
      <c r="C38" s="402"/>
      <c r="D38" s="402"/>
      <c r="E38" s="402"/>
      <c r="F38" s="402"/>
      <c r="G38" s="146"/>
    </row>
    <row r="39" spans="1:7" ht="15">
      <c r="A39" s="30"/>
      <c r="B39" s="462" t="s">
        <v>284</v>
      </c>
      <c r="C39" s="402"/>
      <c r="D39" s="631" t="s">
        <v>48</v>
      </c>
      <c r="E39" s="630">
        <v>8</v>
      </c>
      <c r="F39" s="654" t="s">
        <v>285</v>
      </c>
      <c r="G39" s="146"/>
    </row>
    <row r="40" spans="1:7" ht="15">
      <c r="A40" s="30"/>
      <c r="B40" s="353"/>
      <c r="C40" s="353"/>
      <c r="D40" s="353"/>
      <c r="E40" s="353"/>
      <c r="F40" s="353"/>
      <c r="G40" s="146"/>
    </row>
    <row r="41" spans="1:7" ht="11.25" customHeight="1">
      <c r="A41" s="30"/>
      <c r="B41" s="508"/>
      <c r="C41" s="353"/>
      <c r="D41" s="353"/>
      <c r="E41" s="353"/>
      <c r="F41" s="353"/>
      <c r="G41" s="146"/>
    </row>
    <row r="42" spans="1:7" ht="15" customHeight="1">
      <c r="A42" s="125"/>
      <c r="B42" s="632"/>
      <c r="C42" s="342"/>
      <c r="D42" s="342"/>
      <c r="E42" s="342"/>
      <c r="F42" s="343"/>
      <c r="G42" s="61"/>
    </row>
    <row r="43" spans="1:7" ht="22.5" customHeight="1">
      <c r="A43" s="174"/>
      <c r="B43" s="593" t="str">
        <f>CONCATENATE(TEXT(SUMÁRIO!D7-21,"DD")," de ",TEXT(SUMÁRIO!D7-21,"MMMM")," - Início da Captação de Leads")</f>
        <v>03 de fevereiro - Início da Captação de Leads</v>
      </c>
      <c r="C43" s="594"/>
      <c r="D43" s="594"/>
      <c r="E43" s="594"/>
      <c r="F43" s="595"/>
      <c r="G43" s="175"/>
    </row>
    <row r="44" spans="1:7" ht="18.75" customHeight="1">
      <c r="A44" s="30"/>
      <c r="B44" s="633" t="str">
        <f>CONCATENATE("⚠️ Atenção! A sua Captação de Leads começa hoje, ",TEXT(SUMÁRIO!D7-21,"DD/MM"))</f>
        <v>⚠️ Atenção! A sua Captação de Leads começa hoje, 03/02</v>
      </c>
      <c r="C44" s="394"/>
      <c r="D44" s="394"/>
      <c r="E44" s="394"/>
      <c r="F44" s="396"/>
      <c r="G44" s="30"/>
    </row>
    <row r="45" spans="1:7" ht="12.75">
      <c r="A45" s="125"/>
      <c r="B45" s="634" t="s">
        <v>286</v>
      </c>
      <c r="C45" s="364"/>
      <c r="D45" s="364"/>
      <c r="E45" s="364"/>
      <c r="F45" s="365"/>
      <c r="G45" s="61"/>
    </row>
    <row r="46" spans="1:7" ht="11.25" customHeight="1">
      <c r="A46" s="30"/>
      <c r="B46" s="635"/>
      <c r="C46" s="468"/>
      <c r="D46" s="468"/>
      <c r="E46" s="468"/>
      <c r="F46" s="469"/>
      <c r="G46" s="30"/>
    </row>
    <row r="47" spans="1:7" ht="18.75" customHeight="1">
      <c r="A47" s="125"/>
      <c r="B47" s="69" t="b">
        <v>0</v>
      </c>
      <c r="C47" s="579" t="s">
        <v>287</v>
      </c>
      <c r="D47" s="345"/>
      <c r="E47" s="345"/>
      <c r="F47" s="346"/>
      <c r="G47" s="61"/>
    </row>
    <row r="48" spans="1:7" ht="18.75" customHeight="1">
      <c r="A48" s="125"/>
      <c r="B48" s="69" t="b">
        <v>0</v>
      </c>
      <c r="C48" s="579" t="s">
        <v>288</v>
      </c>
      <c r="D48" s="345"/>
      <c r="E48" s="345"/>
      <c r="F48" s="346"/>
      <c r="G48" s="176"/>
    </row>
    <row r="49" spans="1:7" ht="18.75" customHeight="1">
      <c r="A49" s="177"/>
      <c r="B49" s="69" t="b">
        <v>0</v>
      </c>
      <c r="C49" s="655" t="s">
        <v>289</v>
      </c>
      <c r="D49" s="345"/>
      <c r="E49" s="345"/>
      <c r="F49" s="346"/>
      <c r="G49" s="178"/>
    </row>
    <row r="50" spans="1:7" ht="18.75" customHeight="1">
      <c r="A50" s="177"/>
      <c r="B50" s="69" t="b">
        <v>0</v>
      </c>
      <c r="C50" s="655" t="s">
        <v>290</v>
      </c>
      <c r="D50" s="345"/>
      <c r="E50" s="345"/>
      <c r="F50" s="346"/>
      <c r="G50" s="178"/>
    </row>
    <row r="51" spans="1:7" ht="18.75" customHeight="1">
      <c r="A51" s="141"/>
      <c r="B51" s="179" t="b">
        <v>0</v>
      </c>
      <c r="C51" s="656" t="s">
        <v>291</v>
      </c>
      <c r="D51" s="353"/>
      <c r="E51" s="353"/>
      <c r="F51" s="353"/>
      <c r="G51" s="180"/>
    </row>
    <row r="52" spans="1:7" ht="11.25" customHeight="1">
      <c r="A52" s="141"/>
      <c r="B52" s="657"/>
      <c r="C52" s="353"/>
      <c r="D52" s="353"/>
      <c r="E52" s="353"/>
      <c r="F52" s="353"/>
      <c r="G52" s="180"/>
    </row>
    <row r="53" spans="1:7" ht="18.75" customHeight="1">
      <c r="A53" s="141"/>
      <c r="B53" s="658"/>
      <c r="C53" s="353"/>
      <c r="D53" s="353"/>
      <c r="E53" s="353"/>
      <c r="F53" s="360"/>
      <c r="G53" s="180"/>
    </row>
    <row r="54" spans="1:7" ht="22.5" customHeight="1">
      <c r="A54" s="181"/>
      <c r="B54" s="659" t="str">
        <f>CONCATENATE(TEXT(SUMÁRIO!D7-21,"DD")," de ",TEXT(SUMÁRIO!D7-21,"MMMM")," - [OPCIONAL] Campanha de Remarketing de Aquecimento")</f>
        <v>03 de fevereiro - [OPCIONAL] Campanha de Remarketing de Aquecimento</v>
      </c>
      <c r="C54" s="594"/>
      <c r="D54" s="594"/>
      <c r="E54" s="594"/>
      <c r="F54" s="595"/>
      <c r="G54" s="182"/>
    </row>
    <row r="55" spans="1:7" ht="12.75">
      <c r="A55" s="181"/>
      <c r="B55" s="660" t="s">
        <v>292</v>
      </c>
      <c r="C55" s="353"/>
      <c r="D55" s="353"/>
      <c r="E55" s="353"/>
      <c r="F55" s="353"/>
      <c r="G55" s="182"/>
    </row>
    <row r="56" spans="1:7" ht="18.75" customHeight="1">
      <c r="A56" s="181"/>
      <c r="B56" s="183" t="s">
        <v>84</v>
      </c>
      <c r="C56" s="661" t="s">
        <v>293</v>
      </c>
      <c r="D56" s="353"/>
      <c r="E56" s="353"/>
      <c r="F56" s="353"/>
      <c r="G56" s="182"/>
    </row>
    <row r="57" spans="1:7" ht="11.25" customHeight="1">
      <c r="A57" s="181"/>
      <c r="B57" s="591"/>
      <c r="C57" s="353"/>
      <c r="D57" s="353"/>
      <c r="E57" s="353"/>
      <c r="F57" s="353"/>
      <c r="G57" s="182"/>
    </row>
    <row r="58" spans="1:7" ht="18.75" customHeight="1">
      <c r="A58" s="181"/>
      <c r="B58" s="128" t="b">
        <v>0</v>
      </c>
      <c r="C58" s="579" t="s">
        <v>294</v>
      </c>
      <c r="D58" s="345"/>
      <c r="E58" s="345"/>
      <c r="F58" s="346"/>
      <c r="G58" s="182"/>
    </row>
    <row r="59" spans="1:7" ht="18.75" customHeight="1">
      <c r="A59" s="181"/>
      <c r="B59" s="128" t="b">
        <v>0</v>
      </c>
      <c r="C59" s="579" t="s">
        <v>295</v>
      </c>
      <c r="D59" s="345"/>
      <c r="E59" s="345"/>
      <c r="F59" s="346"/>
      <c r="G59" s="182"/>
    </row>
    <row r="60" spans="1:7" ht="18.75" customHeight="1">
      <c r="A60" s="181"/>
      <c r="B60" s="128" t="b">
        <v>0</v>
      </c>
      <c r="C60" s="579" t="s">
        <v>296</v>
      </c>
      <c r="D60" s="345"/>
      <c r="E60" s="345"/>
      <c r="F60" s="346"/>
      <c r="G60" s="182"/>
    </row>
    <row r="61" spans="1:7" ht="18.75" customHeight="1">
      <c r="A61" s="181"/>
      <c r="B61" s="184"/>
      <c r="C61" s="391" t="str">
        <f>CONCATENATE("Programe a campanha para começar dia ",TEXT(SUMÁRIO!D7-11,"DD/MM"))</f>
        <v>Programe a campanha para começar dia 13/02</v>
      </c>
      <c r="D61" s="353"/>
      <c r="E61" s="353"/>
      <c r="F61" s="353"/>
      <c r="G61" s="182"/>
    </row>
    <row r="62" spans="1:7" ht="11.25" customHeight="1">
      <c r="A62" s="181"/>
      <c r="B62" s="591"/>
      <c r="C62" s="353"/>
      <c r="D62" s="353"/>
      <c r="E62" s="353"/>
      <c r="F62" s="353"/>
      <c r="G62" s="182"/>
    </row>
    <row r="63" spans="1:7" ht="18.75" customHeight="1">
      <c r="A63" s="145"/>
      <c r="B63" s="662"/>
      <c r="C63" s="468"/>
      <c r="D63" s="468"/>
      <c r="E63" s="468"/>
      <c r="F63" s="663"/>
      <c r="G63" s="145"/>
    </row>
    <row r="64" spans="1:7" ht="22.5" customHeight="1">
      <c r="A64" s="181"/>
      <c r="B64" s="593" t="str">
        <f>CONCATENATE(TEXT(SUMÁRIO!D7-21,"DD")," de ",TEXT(SUMÁRIO!D7-21,"MMMM")," - Conteúdo de AQUECIMENTO")</f>
        <v>03 de fevereiro - Conteúdo de AQUECIMENTO</v>
      </c>
      <c r="C64" s="594"/>
      <c r="D64" s="594"/>
      <c r="E64" s="594"/>
      <c r="F64" s="595"/>
      <c r="G64" s="182"/>
    </row>
    <row r="65" spans="1:7" ht="18.75" customHeight="1">
      <c r="A65" s="185"/>
      <c r="B65" s="186" t="b">
        <v>0</v>
      </c>
      <c r="C65" s="596" t="s">
        <v>297</v>
      </c>
      <c r="D65" s="597"/>
      <c r="E65" s="597"/>
      <c r="F65" s="507"/>
      <c r="G65" s="180"/>
    </row>
    <row r="66" spans="1:7" ht="18.75" customHeight="1">
      <c r="A66" s="185"/>
      <c r="B66" s="187" t="b">
        <v>0</v>
      </c>
      <c r="C66" s="598" t="s">
        <v>298</v>
      </c>
      <c r="D66" s="599"/>
      <c r="E66" s="599"/>
      <c r="F66" s="600"/>
      <c r="G66" s="180"/>
    </row>
    <row r="67" spans="1:7" ht="18.75" customHeight="1">
      <c r="A67" s="185"/>
      <c r="B67" s="187" t="b">
        <v>0</v>
      </c>
      <c r="C67" s="598" t="s">
        <v>299</v>
      </c>
      <c r="D67" s="599"/>
      <c r="E67" s="599"/>
      <c r="F67" s="600"/>
      <c r="G67" s="180"/>
    </row>
    <row r="68" spans="1:7" ht="18.75" customHeight="1">
      <c r="A68" s="185"/>
      <c r="B68" s="187" t="b">
        <v>0</v>
      </c>
      <c r="C68" s="598" t="s">
        <v>300</v>
      </c>
      <c r="D68" s="599"/>
      <c r="E68" s="599"/>
      <c r="F68" s="600"/>
      <c r="G68" s="180"/>
    </row>
    <row r="69" spans="1:7" ht="11.25" customHeight="1">
      <c r="A69" s="141"/>
      <c r="B69" s="664"/>
      <c r="C69" s="468"/>
      <c r="D69" s="468"/>
      <c r="E69" s="468"/>
      <c r="F69" s="469"/>
      <c r="G69" s="180"/>
    </row>
    <row r="70" spans="1:7" ht="18.75" customHeight="1">
      <c r="A70" s="141"/>
      <c r="B70" s="592"/>
      <c r="C70" s="353"/>
      <c r="D70" s="353"/>
      <c r="E70" s="353"/>
      <c r="F70" s="353"/>
      <c r="G70" s="180"/>
    </row>
    <row r="71" spans="1:7" ht="22.5" customHeight="1">
      <c r="A71" s="181"/>
      <c r="B71" s="665" t="str">
        <f>CONCATENATE(TEXT(SUMÁRIO!D7-20,"DD")," de ",TEXT(SUMÁRIO!D7-20,"MMMM")," - Criativos de Remarketing")</f>
        <v>04 de fevereiro - Criativos de Remarketing</v>
      </c>
      <c r="C71" s="594"/>
      <c r="D71" s="594"/>
      <c r="E71" s="594"/>
      <c r="F71" s="595"/>
      <c r="G71" s="182"/>
    </row>
    <row r="72" spans="1:7" ht="12.75">
      <c r="A72" s="181"/>
      <c r="B72" s="189"/>
      <c r="C72" s="666" t="s">
        <v>301</v>
      </c>
      <c r="D72" s="597"/>
      <c r="E72" s="597"/>
      <c r="F72" s="507"/>
      <c r="G72" s="182"/>
    </row>
    <row r="73" spans="1:7" ht="18.75" customHeight="1">
      <c r="A73" s="181"/>
      <c r="B73" s="190" t="s">
        <v>184</v>
      </c>
      <c r="C73" s="667" t="s">
        <v>302</v>
      </c>
      <c r="D73" s="599"/>
      <c r="E73" s="599"/>
      <c r="F73" s="600"/>
      <c r="G73" s="182"/>
    </row>
    <row r="74" spans="1:7" ht="18.75" customHeight="1">
      <c r="A74" s="181"/>
      <c r="B74" s="191" t="s">
        <v>84</v>
      </c>
      <c r="C74" s="668" t="s">
        <v>303</v>
      </c>
      <c r="D74" s="583"/>
      <c r="E74" s="583"/>
      <c r="F74" s="584"/>
      <c r="G74" s="182"/>
    </row>
    <row r="75" spans="1:7" ht="11.25" customHeight="1">
      <c r="A75" s="181"/>
      <c r="B75" s="626"/>
      <c r="C75" s="583"/>
      <c r="D75" s="583"/>
      <c r="E75" s="583"/>
      <c r="F75" s="584"/>
      <c r="G75" s="182"/>
    </row>
    <row r="76" spans="1:7" ht="18.75" customHeight="1">
      <c r="A76" s="181"/>
      <c r="B76" s="69" t="b">
        <v>0</v>
      </c>
      <c r="C76" s="579" t="s">
        <v>304</v>
      </c>
      <c r="D76" s="345"/>
      <c r="E76" s="345"/>
      <c r="F76" s="346"/>
      <c r="G76" s="182"/>
    </row>
    <row r="77" spans="1:7" ht="18.75" customHeight="1">
      <c r="A77" s="181"/>
      <c r="B77" s="69" t="b">
        <v>0</v>
      </c>
      <c r="C77" s="579" t="s">
        <v>305</v>
      </c>
      <c r="D77" s="345"/>
      <c r="E77" s="345"/>
      <c r="F77" s="346"/>
      <c r="G77" s="182"/>
    </row>
    <row r="78" spans="1:7" ht="18.75" customHeight="1">
      <c r="A78" s="181"/>
      <c r="B78" s="69" t="b">
        <v>0</v>
      </c>
      <c r="C78" s="579" t="s">
        <v>306</v>
      </c>
      <c r="D78" s="345"/>
      <c r="E78" s="345"/>
      <c r="F78" s="346"/>
      <c r="G78" s="182"/>
    </row>
    <row r="79" spans="1:7" ht="11.25" customHeight="1">
      <c r="A79" s="181"/>
      <c r="B79" s="530"/>
      <c r="C79" s="394"/>
      <c r="D79" s="394"/>
      <c r="E79" s="394"/>
      <c r="F79" s="396"/>
      <c r="G79" s="182"/>
    </row>
    <row r="80" spans="1:7" ht="18.75" customHeight="1">
      <c r="A80" s="181"/>
      <c r="B80" s="592"/>
      <c r="C80" s="353"/>
      <c r="D80" s="353"/>
      <c r="E80" s="353"/>
      <c r="F80" s="353"/>
      <c r="G80" s="182"/>
    </row>
    <row r="81" spans="1:7" ht="22.5" customHeight="1">
      <c r="A81" s="174"/>
      <c r="B81" s="593" t="str">
        <f>CONCATENATE(TEXT(SUMÁRIO!D7-20,"DD")," de ",TEXT(SUMÁRIO!D7-20,"MMMM")," - Otimização da Campanha de Captação")</f>
        <v>04 de fevereiro - Otimização da Campanha de Captação</v>
      </c>
      <c r="C81" s="594"/>
      <c r="D81" s="594"/>
      <c r="E81" s="594"/>
      <c r="F81" s="595"/>
      <c r="G81" s="192"/>
    </row>
    <row r="82" spans="1:7" ht="13.15">
      <c r="A82" s="27"/>
      <c r="B82" s="669" t="s">
        <v>307</v>
      </c>
      <c r="C82" s="353"/>
      <c r="D82" s="353"/>
      <c r="E82" s="353"/>
      <c r="F82" s="670"/>
      <c r="G82" s="61"/>
    </row>
    <row r="83" spans="1:7" ht="18.75" customHeight="1">
      <c r="A83" s="27"/>
      <c r="B83" s="193" t="s">
        <v>184</v>
      </c>
      <c r="C83" s="581" t="s">
        <v>308</v>
      </c>
      <c r="D83" s="353"/>
      <c r="E83" s="353"/>
      <c r="F83" s="353"/>
      <c r="G83" s="61"/>
    </row>
    <row r="84" spans="1:7" ht="11.25" customHeight="1">
      <c r="A84" s="27"/>
      <c r="B84" s="671"/>
      <c r="C84" s="583"/>
      <c r="D84" s="583"/>
      <c r="E84" s="583"/>
      <c r="F84" s="584"/>
      <c r="G84" s="61"/>
    </row>
    <row r="85" spans="1:7" ht="18.75" customHeight="1">
      <c r="A85" s="27"/>
      <c r="B85" s="585" t="s">
        <v>309</v>
      </c>
      <c r="C85" s="510"/>
      <c r="D85" s="194"/>
      <c r="E85" s="585" t="s">
        <v>310</v>
      </c>
      <c r="F85" s="346"/>
      <c r="G85" s="195"/>
    </row>
    <row r="86" spans="1:7" ht="18.75" customHeight="1">
      <c r="A86" s="27"/>
      <c r="B86" s="191" t="s">
        <v>84</v>
      </c>
      <c r="C86" s="196" t="s">
        <v>311</v>
      </c>
      <c r="D86" s="586"/>
      <c r="E86" s="191" t="s">
        <v>84</v>
      </c>
      <c r="F86" s="197" t="s">
        <v>311</v>
      </c>
      <c r="G86" s="195"/>
    </row>
    <row r="87" spans="1:7" ht="18.75" customHeight="1">
      <c r="A87" s="27"/>
      <c r="B87" s="589" t="b">
        <v>0</v>
      </c>
      <c r="C87" s="672" t="s">
        <v>312</v>
      </c>
      <c r="D87" s="587"/>
      <c r="E87" s="199" t="b">
        <v>0</v>
      </c>
      <c r="F87" s="91" t="s">
        <v>313</v>
      </c>
      <c r="G87" s="195"/>
    </row>
    <row r="88" spans="1:7" ht="18.75" customHeight="1">
      <c r="A88" s="27"/>
      <c r="B88" s="400"/>
      <c r="C88" s="588"/>
      <c r="D88" s="588"/>
      <c r="E88" s="199" t="b">
        <v>0</v>
      </c>
      <c r="F88" s="90" t="s">
        <v>314</v>
      </c>
      <c r="G88" s="195"/>
    </row>
    <row r="89" spans="1:7" ht="11.25" customHeight="1">
      <c r="A89" s="27"/>
      <c r="B89" s="545"/>
      <c r="C89" s="353"/>
      <c r="D89" s="353"/>
      <c r="E89" s="353"/>
      <c r="F89" s="506"/>
      <c r="G89" s="195"/>
    </row>
    <row r="90" spans="1:7" ht="18.75" customHeight="1">
      <c r="A90" s="141"/>
      <c r="B90" s="673"/>
      <c r="C90" s="339"/>
      <c r="D90" s="339"/>
      <c r="E90" s="339"/>
      <c r="F90" s="340"/>
      <c r="G90" s="180"/>
    </row>
    <row r="91" spans="1:7" ht="22.5" customHeight="1">
      <c r="A91" s="181"/>
      <c r="B91" s="535" t="str">
        <f>CONCATENATE(TEXT(SUMÁRIO!D7-20,"DD")," de ",TEXT(SUMÁRIO!D7-20,"MMMM")," - Conteúdo de AQUECIMENTO")</f>
        <v>04 de fevereiro - Conteúdo de AQUECIMENTO</v>
      </c>
      <c r="C91" s="536"/>
      <c r="D91" s="536"/>
      <c r="E91" s="536"/>
      <c r="F91" s="537"/>
      <c r="G91" s="182"/>
    </row>
    <row r="92" spans="1:7" ht="18.75" customHeight="1">
      <c r="A92" s="141"/>
      <c r="B92" s="187" t="b">
        <v>0</v>
      </c>
      <c r="C92" s="598" t="s">
        <v>297</v>
      </c>
      <c r="D92" s="599"/>
      <c r="E92" s="599"/>
      <c r="F92" s="600"/>
      <c r="G92" s="180"/>
    </row>
    <row r="93" spans="1:7" ht="18.75" customHeight="1">
      <c r="A93" s="141"/>
      <c r="B93" s="187" t="b">
        <v>0</v>
      </c>
      <c r="C93" s="598" t="s">
        <v>298</v>
      </c>
      <c r="D93" s="599"/>
      <c r="E93" s="599"/>
      <c r="F93" s="600"/>
      <c r="G93" s="180"/>
    </row>
    <row r="94" spans="1:7" ht="18.75" customHeight="1">
      <c r="A94" s="141"/>
      <c r="B94" s="187" t="b">
        <v>0</v>
      </c>
      <c r="C94" s="598" t="s">
        <v>299</v>
      </c>
      <c r="D94" s="599"/>
      <c r="E94" s="599"/>
      <c r="F94" s="600"/>
      <c r="G94" s="180"/>
    </row>
    <row r="95" spans="1:7" ht="18.75" customHeight="1">
      <c r="A95" s="141"/>
      <c r="B95" s="187" t="b">
        <v>0</v>
      </c>
      <c r="C95" s="598" t="s">
        <v>315</v>
      </c>
      <c r="D95" s="599"/>
      <c r="E95" s="599"/>
      <c r="F95" s="600"/>
      <c r="G95" s="180"/>
    </row>
    <row r="96" spans="1:7" ht="11.25" customHeight="1">
      <c r="A96" s="141"/>
      <c r="B96" s="200"/>
      <c r="C96" s="200"/>
      <c r="D96" s="200"/>
      <c r="E96" s="200"/>
      <c r="F96" s="188"/>
      <c r="G96" s="180"/>
    </row>
    <row r="97" spans="1:7" ht="18.75" customHeight="1">
      <c r="A97" s="141"/>
      <c r="B97" s="674"/>
      <c r="C97" s="342"/>
      <c r="D97" s="342"/>
      <c r="E97" s="342"/>
      <c r="F97" s="343"/>
      <c r="G97" s="180"/>
    </row>
    <row r="98" spans="1:7" ht="22.5" customHeight="1">
      <c r="A98" s="141"/>
      <c r="B98" s="675" t="str">
        <f>CONCATENATE(TEXT(SUMÁRIO!D7-19,"DD")," de ",TEXT(SUMÁRIO!D7-19,"MMMM")," - Planejamento da Campanha de Remarketing de Antecipação")</f>
        <v>05 de fevereiro - Planejamento da Campanha de Remarketing de Antecipação</v>
      </c>
      <c r="C98" s="594"/>
      <c r="D98" s="594"/>
      <c r="E98" s="594"/>
      <c r="F98" s="595"/>
      <c r="G98" s="180"/>
    </row>
    <row r="99" spans="1:7" ht="18.75" customHeight="1">
      <c r="A99" s="141"/>
      <c r="B99" s="201" t="s">
        <v>84</v>
      </c>
      <c r="C99" s="676" t="s">
        <v>316</v>
      </c>
      <c r="D99" s="399"/>
      <c r="E99" s="399"/>
      <c r="F99" s="400"/>
      <c r="G99" s="180"/>
    </row>
    <row r="100" spans="1:7" ht="11.25" customHeight="1">
      <c r="A100" s="141"/>
      <c r="B100" s="446"/>
      <c r="C100" s="353"/>
      <c r="D100" s="353"/>
      <c r="E100" s="353"/>
      <c r="F100" s="360"/>
      <c r="G100" s="180"/>
    </row>
    <row r="101" spans="1:7" ht="18.75" customHeight="1">
      <c r="A101" s="141"/>
      <c r="B101" s="128" t="b">
        <v>0</v>
      </c>
      <c r="C101" s="579" t="s">
        <v>317</v>
      </c>
      <c r="D101" s="345"/>
      <c r="E101" s="345"/>
      <c r="F101" s="346"/>
      <c r="G101" s="180"/>
    </row>
    <row r="102" spans="1:7" ht="18.75" customHeight="1">
      <c r="A102" s="141"/>
      <c r="B102" s="193" t="s">
        <v>184</v>
      </c>
      <c r="C102" s="677" t="s">
        <v>318</v>
      </c>
      <c r="D102" s="353"/>
      <c r="E102" s="353"/>
      <c r="F102" s="353"/>
      <c r="G102" s="180"/>
    </row>
    <row r="103" spans="1:7" ht="18.75" customHeight="1">
      <c r="A103" s="141"/>
      <c r="B103" s="128" t="b">
        <v>0</v>
      </c>
      <c r="C103" s="579" t="s">
        <v>319</v>
      </c>
      <c r="D103" s="345"/>
      <c r="E103" s="345"/>
      <c r="F103" s="346"/>
      <c r="G103" s="180"/>
    </row>
    <row r="104" spans="1:7" ht="18.75" customHeight="1">
      <c r="A104" s="141"/>
      <c r="B104" s="128" t="b">
        <v>0</v>
      </c>
      <c r="C104" s="579" t="s">
        <v>320</v>
      </c>
      <c r="D104" s="345"/>
      <c r="E104" s="345"/>
      <c r="F104" s="346"/>
      <c r="G104" s="180"/>
    </row>
    <row r="105" spans="1:7" ht="18.75" customHeight="1">
      <c r="A105" s="141"/>
      <c r="B105" s="128" t="b">
        <v>0</v>
      </c>
      <c r="C105" s="678" t="str">
        <f>CONCATENATE("Programe a campanha para começar pelo menos dois antes do CPL1, dia ",TEXT(SUMÁRIO!D7-2,"DD/MM"))</f>
        <v>Programe a campanha para começar pelo menos dois antes do CPL1, dia 22/02</v>
      </c>
      <c r="D105" s="353"/>
      <c r="E105" s="353"/>
      <c r="F105" s="353"/>
      <c r="G105" s="180"/>
    </row>
    <row r="106" spans="1:7" ht="11.25" customHeight="1">
      <c r="A106" s="141"/>
      <c r="B106" s="446"/>
      <c r="C106" s="353"/>
      <c r="D106" s="353"/>
      <c r="E106" s="353"/>
      <c r="F106" s="360"/>
      <c r="G106" s="180"/>
    </row>
    <row r="107" spans="1:7" ht="18.75" customHeight="1">
      <c r="A107" s="141"/>
      <c r="B107" s="673"/>
      <c r="C107" s="339"/>
      <c r="D107" s="339"/>
      <c r="E107" s="339"/>
      <c r="F107" s="340"/>
      <c r="G107" s="180"/>
    </row>
    <row r="108" spans="1:7" ht="22.5" customHeight="1">
      <c r="A108" s="181"/>
      <c r="B108" s="535" t="str">
        <f>CONCATENATE(TEXT(SUMÁRIO!D7-19,"DD")," de ",TEXT(SUMÁRIO!D7-19,"MMMM")," - Otimização da Campanha de Captação")</f>
        <v>05 de fevereiro - Otimização da Campanha de Captação</v>
      </c>
      <c r="C108" s="536"/>
      <c r="D108" s="536"/>
      <c r="E108" s="536"/>
      <c r="F108" s="537"/>
      <c r="G108" s="182"/>
    </row>
    <row r="109" spans="1:7" ht="18.75" customHeight="1">
      <c r="A109" s="141"/>
      <c r="B109" s="193" t="s">
        <v>184</v>
      </c>
      <c r="C109" s="581" t="s">
        <v>308</v>
      </c>
      <c r="D109" s="353"/>
      <c r="E109" s="353"/>
      <c r="F109" s="353"/>
      <c r="G109" s="180"/>
    </row>
    <row r="110" spans="1:7" ht="11.25" customHeight="1">
      <c r="A110" s="141"/>
      <c r="B110" s="671"/>
      <c r="C110" s="583"/>
      <c r="D110" s="583"/>
      <c r="E110" s="583"/>
      <c r="F110" s="584"/>
      <c r="G110" s="180"/>
    </row>
    <row r="111" spans="1:7" ht="18.75" customHeight="1">
      <c r="A111" s="141"/>
      <c r="B111" s="585" t="s">
        <v>309</v>
      </c>
      <c r="C111" s="510"/>
      <c r="D111" s="194"/>
      <c r="E111" s="585" t="s">
        <v>310</v>
      </c>
      <c r="F111" s="346"/>
      <c r="G111" s="180"/>
    </row>
    <row r="112" spans="1:7" ht="18.75" customHeight="1">
      <c r="A112" s="141"/>
      <c r="B112" s="191" t="s">
        <v>84</v>
      </c>
      <c r="C112" s="196" t="s">
        <v>311</v>
      </c>
      <c r="D112" s="586"/>
      <c r="E112" s="191" t="s">
        <v>84</v>
      </c>
      <c r="F112" s="197" t="s">
        <v>311</v>
      </c>
      <c r="G112" s="180"/>
    </row>
    <row r="113" spans="1:7" ht="18.75" customHeight="1">
      <c r="A113" s="141"/>
      <c r="B113" s="198" t="b">
        <v>0</v>
      </c>
      <c r="C113" s="89" t="s">
        <v>321</v>
      </c>
      <c r="D113" s="587"/>
      <c r="E113" s="199" t="b">
        <v>0</v>
      </c>
      <c r="F113" s="90" t="s">
        <v>321</v>
      </c>
      <c r="G113" s="180"/>
    </row>
    <row r="114" spans="1:7" ht="18.75" customHeight="1">
      <c r="A114" s="141"/>
      <c r="B114" s="202"/>
      <c r="C114" s="89" t="s">
        <v>322</v>
      </c>
      <c r="D114" s="587"/>
      <c r="E114" s="199" t="b">
        <v>0</v>
      </c>
      <c r="F114" s="90" t="s">
        <v>323</v>
      </c>
      <c r="G114" s="180"/>
    </row>
    <row r="115" spans="1:7" ht="18.75" customHeight="1">
      <c r="A115" s="141"/>
      <c r="B115" s="127"/>
      <c r="C115" s="203" t="s">
        <v>324</v>
      </c>
      <c r="D115" s="588"/>
      <c r="E115" s="199" t="b">
        <v>0</v>
      </c>
      <c r="F115" s="90" t="s">
        <v>322</v>
      </c>
      <c r="G115" s="180"/>
    </row>
    <row r="116" spans="1:7" ht="11.25" customHeight="1">
      <c r="A116" s="141"/>
      <c r="B116" s="545"/>
      <c r="C116" s="353"/>
      <c r="D116" s="353"/>
      <c r="E116" s="353"/>
      <c r="F116" s="506"/>
      <c r="G116" s="180"/>
    </row>
    <row r="117" spans="1:7" ht="18.75" customHeight="1">
      <c r="A117" s="141"/>
      <c r="B117" s="592"/>
      <c r="C117" s="353"/>
      <c r="D117" s="353"/>
      <c r="E117" s="353"/>
      <c r="F117" s="353"/>
      <c r="G117" s="180"/>
    </row>
    <row r="118" spans="1:7" ht="22.5" customHeight="1">
      <c r="A118" s="181"/>
      <c r="B118" s="390" t="str">
        <f>CONCATENATE(TEXT(SUMÁRIO!D7-19,"DD")," de ",TEXT(SUMÁRIO!D7-19,"MMMM")," - Conteúdo de AQUECIMENTO")</f>
        <v>05 de fevereiro - Conteúdo de AQUECIMENTO</v>
      </c>
      <c r="C118" s="353"/>
      <c r="D118" s="353"/>
      <c r="E118" s="353"/>
      <c r="F118" s="465"/>
      <c r="G118" s="182"/>
    </row>
    <row r="119" spans="1:7" ht="18.75" customHeight="1">
      <c r="A119" s="141"/>
      <c r="B119" s="187" t="b">
        <v>0</v>
      </c>
      <c r="C119" s="598" t="s">
        <v>297</v>
      </c>
      <c r="D119" s="599"/>
      <c r="E119" s="599"/>
      <c r="F119" s="600"/>
      <c r="G119" s="180"/>
    </row>
    <row r="120" spans="1:7" ht="18.75" customHeight="1">
      <c r="A120" s="141"/>
      <c r="B120" s="187" t="b">
        <v>0</v>
      </c>
      <c r="C120" s="598" t="s">
        <v>298</v>
      </c>
      <c r="D120" s="599"/>
      <c r="E120" s="599"/>
      <c r="F120" s="600"/>
      <c r="G120" s="180"/>
    </row>
    <row r="121" spans="1:7" ht="18.75" customHeight="1">
      <c r="A121" s="141"/>
      <c r="B121" s="187" t="b">
        <v>0</v>
      </c>
      <c r="C121" s="598" t="s">
        <v>299</v>
      </c>
      <c r="D121" s="599"/>
      <c r="E121" s="599"/>
      <c r="F121" s="600"/>
      <c r="G121" s="180"/>
    </row>
    <row r="122" spans="1:7" ht="18.75" customHeight="1">
      <c r="A122" s="141"/>
      <c r="B122" s="187" t="b">
        <v>0</v>
      </c>
      <c r="C122" s="598" t="s">
        <v>325</v>
      </c>
      <c r="D122" s="599"/>
      <c r="E122" s="599"/>
      <c r="F122" s="600"/>
      <c r="G122" s="180"/>
    </row>
    <row r="123" spans="1:7" ht="11.25" customHeight="1">
      <c r="A123" s="141"/>
      <c r="B123" s="200"/>
      <c r="C123" s="200"/>
      <c r="D123" s="200"/>
      <c r="E123" s="200"/>
      <c r="F123" s="188"/>
      <c r="G123" s="180"/>
    </row>
    <row r="124" spans="1:7" ht="18.75" customHeight="1">
      <c r="A124" s="141"/>
      <c r="B124" s="673"/>
      <c r="C124" s="339"/>
      <c r="D124" s="339"/>
      <c r="E124" s="339"/>
      <c r="F124" s="340"/>
      <c r="G124" s="180"/>
    </row>
    <row r="125" spans="1:7" ht="18.75" customHeight="1">
      <c r="A125" s="141"/>
      <c r="B125" s="593" t="str">
        <f>CONCATENATE(TEXT(SUMÁRIO!D7-18,"DD")," de ",TEXT(SUMÁRIO!D7-18,"MMMM")," - Roteiro CPL 1")</f>
        <v>06 de fevereiro - Roteiro CPL 1</v>
      </c>
      <c r="C125" s="594"/>
      <c r="D125" s="594"/>
      <c r="E125" s="594"/>
      <c r="F125" s="595"/>
      <c r="G125" s="180"/>
    </row>
    <row r="126" spans="1:7" ht="18.75" customHeight="1">
      <c r="A126" s="141"/>
      <c r="B126" s="204" t="s">
        <v>184</v>
      </c>
      <c r="C126" s="679" t="s">
        <v>326</v>
      </c>
      <c r="D126" s="364"/>
      <c r="E126" s="364"/>
      <c r="F126" s="680"/>
      <c r="G126" s="180"/>
    </row>
    <row r="127" spans="1:7" ht="18.75" customHeight="1">
      <c r="A127" s="141"/>
      <c r="B127" s="205" t="s">
        <v>84</v>
      </c>
      <c r="C127" s="681" t="s">
        <v>327</v>
      </c>
      <c r="D127" s="394"/>
      <c r="E127" s="394"/>
      <c r="F127" s="396"/>
      <c r="G127" s="180"/>
    </row>
    <row r="128" spans="1:7" ht="11.25" customHeight="1">
      <c r="A128" s="141"/>
      <c r="B128" s="682"/>
      <c r="C128" s="468"/>
      <c r="D128" s="468"/>
      <c r="E128" s="468"/>
      <c r="F128" s="468"/>
      <c r="G128" s="180"/>
    </row>
    <row r="129" spans="1:7" ht="18.75" customHeight="1">
      <c r="A129" s="141"/>
      <c r="B129" s="533"/>
      <c r="C129" s="683" t="s">
        <v>328</v>
      </c>
      <c r="D129" s="206"/>
      <c r="E129" s="199" t="b">
        <v>0</v>
      </c>
      <c r="F129" s="71" t="s">
        <v>329</v>
      </c>
      <c r="G129" s="180"/>
    </row>
    <row r="130" spans="1:7" ht="18.75" customHeight="1">
      <c r="A130" s="141"/>
      <c r="B130" s="399"/>
      <c r="C130" s="684"/>
      <c r="D130" s="207"/>
      <c r="E130" s="199" t="b">
        <v>0</v>
      </c>
      <c r="F130" s="71" t="s">
        <v>330</v>
      </c>
      <c r="G130" s="180"/>
    </row>
    <row r="131" spans="1:7" ht="18.75" customHeight="1">
      <c r="A131" s="141"/>
      <c r="B131" s="128" t="b">
        <v>0</v>
      </c>
      <c r="C131" s="485" t="s">
        <v>331</v>
      </c>
      <c r="D131" s="345"/>
      <c r="E131" s="345"/>
      <c r="F131" s="346"/>
      <c r="G131" s="180"/>
    </row>
    <row r="132" spans="1:7" ht="11.25" customHeight="1">
      <c r="A132" s="141"/>
      <c r="B132" s="372"/>
      <c r="C132" s="353"/>
      <c r="D132" s="353"/>
      <c r="E132" s="353"/>
      <c r="F132" s="360"/>
      <c r="G132" s="180"/>
    </row>
    <row r="133" spans="1:7" ht="18.75" customHeight="1">
      <c r="A133" s="141"/>
      <c r="B133" s="610"/>
      <c r="C133" s="353"/>
      <c r="D133" s="353"/>
      <c r="E133" s="353"/>
      <c r="F133" s="353"/>
      <c r="G133" s="180"/>
    </row>
    <row r="134" spans="1:7" ht="22.5" customHeight="1">
      <c r="A134" s="181"/>
      <c r="B134" s="535" t="str">
        <f>CONCATENATE(TEXT(SUMÁRIO!D7-18,"DD")," de ",TEXT(SUMÁRIO!D7-18,"MMMM")," - Otimização da Campanha de Captação")</f>
        <v>06 de fevereiro - Otimização da Campanha de Captação</v>
      </c>
      <c r="C134" s="536"/>
      <c r="D134" s="536"/>
      <c r="E134" s="536"/>
      <c r="F134" s="537"/>
      <c r="G134" s="182"/>
    </row>
    <row r="135" spans="1:7" ht="18.75" customHeight="1">
      <c r="A135" s="141"/>
      <c r="B135" s="208" t="s">
        <v>184</v>
      </c>
      <c r="C135" s="581" t="s">
        <v>308</v>
      </c>
      <c r="D135" s="353"/>
      <c r="E135" s="353"/>
      <c r="F135" s="353"/>
      <c r="G135" s="180"/>
    </row>
    <row r="136" spans="1:7" ht="11.25" customHeight="1">
      <c r="A136" s="141"/>
      <c r="B136" s="582"/>
      <c r="C136" s="583"/>
      <c r="D136" s="583"/>
      <c r="E136" s="583"/>
      <c r="F136" s="584"/>
      <c r="G136" s="180"/>
    </row>
    <row r="137" spans="1:7" ht="18.75" customHeight="1">
      <c r="A137" s="141"/>
      <c r="B137" s="585" t="s">
        <v>309</v>
      </c>
      <c r="C137" s="510"/>
      <c r="D137" s="209"/>
      <c r="E137" s="585" t="s">
        <v>310</v>
      </c>
      <c r="F137" s="346"/>
      <c r="G137" s="180"/>
    </row>
    <row r="138" spans="1:7" ht="18.75" customHeight="1">
      <c r="A138" s="141"/>
      <c r="B138" s="191" t="s">
        <v>84</v>
      </c>
      <c r="C138" s="210" t="s">
        <v>311</v>
      </c>
      <c r="D138" s="586"/>
      <c r="E138" s="191" t="s">
        <v>84</v>
      </c>
      <c r="F138" s="211" t="s">
        <v>311</v>
      </c>
      <c r="G138" s="180"/>
    </row>
    <row r="139" spans="1:7" ht="18.75" customHeight="1">
      <c r="A139" s="141"/>
      <c r="B139" s="198" t="b">
        <v>0</v>
      </c>
      <c r="C139" s="89" t="s">
        <v>321</v>
      </c>
      <c r="D139" s="587"/>
      <c r="E139" s="199" t="b">
        <v>0</v>
      </c>
      <c r="F139" s="90" t="s">
        <v>321</v>
      </c>
      <c r="G139" s="180"/>
    </row>
    <row r="140" spans="1:7" ht="18.75" customHeight="1">
      <c r="A140" s="141"/>
      <c r="B140" s="212"/>
      <c r="C140" s="89" t="s">
        <v>332</v>
      </c>
      <c r="D140" s="587"/>
      <c r="E140" s="199" t="b">
        <v>0</v>
      </c>
      <c r="F140" s="90" t="s">
        <v>333</v>
      </c>
      <c r="G140" s="180"/>
    </row>
    <row r="141" spans="1:7" ht="18.75" customHeight="1">
      <c r="A141" s="141"/>
      <c r="B141" s="620"/>
      <c r="C141" s="400"/>
      <c r="D141" s="588"/>
      <c r="E141" s="199" t="b">
        <v>0</v>
      </c>
      <c r="F141" s="90" t="s">
        <v>332</v>
      </c>
      <c r="G141" s="180"/>
    </row>
    <row r="142" spans="1:7" ht="11.25" customHeight="1">
      <c r="A142" s="141"/>
      <c r="B142" s="591"/>
      <c r="C142" s="353"/>
      <c r="D142" s="353"/>
      <c r="E142" s="353"/>
      <c r="F142" s="353"/>
      <c r="G142" s="180"/>
    </row>
    <row r="143" spans="1:7" ht="18.75" customHeight="1">
      <c r="A143" s="141"/>
      <c r="B143" s="592"/>
      <c r="C143" s="353"/>
      <c r="D143" s="353"/>
      <c r="E143" s="353"/>
      <c r="F143" s="353"/>
      <c r="G143" s="180"/>
    </row>
    <row r="144" spans="1:7" ht="22.5" customHeight="1">
      <c r="A144" s="181"/>
      <c r="B144" s="390" t="str">
        <f>CONCATENATE(TEXT(SUMÁRIO!D7-18,"DD")," de ",TEXT(SUMÁRIO!D7-18,"MMMM")," - Conteúdo de AQUECIMENTO")</f>
        <v>06 de fevereiro - Conteúdo de AQUECIMENTO</v>
      </c>
      <c r="C144" s="353"/>
      <c r="D144" s="353"/>
      <c r="E144" s="353"/>
      <c r="F144" s="465"/>
      <c r="G144" s="182"/>
    </row>
    <row r="145" spans="1:7" ht="18.75" customHeight="1">
      <c r="A145" s="141"/>
      <c r="B145" s="187" t="b">
        <v>0</v>
      </c>
      <c r="C145" s="598" t="s">
        <v>297</v>
      </c>
      <c r="D145" s="599"/>
      <c r="E145" s="599"/>
      <c r="F145" s="600"/>
      <c r="G145" s="180"/>
    </row>
    <row r="146" spans="1:7" ht="18.75" customHeight="1">
      <c r="A146" s="141"/>
      <c r="B146" s="187" t="b">
        <v>0</v>
      </c>
      <c r="C146" s="598" t="s">
        <v>298</v>
      </c>
      <c r="D146" s="599"/>
      <c r="E146" s="599"/>
      <c r="F146" s="600"/>
      <c r="G146" s="180"/>
    </row>
    <row r="147" spans="1:7" ht="18.75" customHeight="1">
      <c r="A147" s="141"/>
      <c r="B147" s="187" t="b">
        <v>0</v>
      </c>
      <c r="C147" s="598" t="s">
        <v>299</v>
      </c>
      <c r="D147" s="599"/>
      <c r="E147" s="599"/>
      <c r="F147" s="600"/>
      <c r="G147" s="180"/>
    </row>
    <row r="148" spans="1:7" ht="18.75" customHeight="1">
      <c r="A148" s="141"/>
      <c r="B148" s="187" t="b">
        <v>0</v>
      </c>
      <c r="C148" s="598" t="s">
        <v>334</v>
      </c>
      <c r="D148" s="599"/>
      <c r="E148" s="599"/>
      <c r="F148" s="600"/>
      <c r="G148" s="180"/>
    </row>
    <row r="149" spans="1:7" ht="11.25" customHeight="1">
      <c r="A149" s="141"/>
      <c r="B149" s="601"/>
      <c r="C149" s="468"/>
      <c r="D149" s="468"/>
      <c r="E149" s="468"/>
      <c r="F149" s="469"/>
      <c r="G149" s="180"/>
    </row>
    <row r="150" spans="1:7" ht="18.75" customHeight="1">
      <c r="A150" s="141"/>
      <c r="B150" s="592"/>
      <c r="C150" s="353"/>
      <c r="D150" s="353"/>
      <c r="E150" s="353"/>
      <c r="F150" s="353"/>
      <c r="G150" s="180"/>
    </row>
    <row r="151" spans="1:7" ht="22.5" customHeight="1">
      <c r="A151" s="174"/>
      <c r="B151" s="593" t="str">
        <f>CONCATENATE(TEXT(SUMÁRIO!D7-17,"DD")," de ",TEXT(SUMÁRIO!D7-17,"MMMM")," - Roteiro CPL 2")</f>
        <v>07 de fevereiro - Roteiro CPL 2</v>
      </c>
      <c r="C151" s="594"/>
      <c r="D151" s="594"/>
      <c r="E151" s="594"/>
      <c r="F151" s="595"/>
      <c r="G151" s="181"/>
    </row>
    <row r="152" spans="1:7" ht="18.75" customHeight="1">
      <c r="A152" s="27"/>
      <c r="B152" s="214" t="s">
        <v>184</v>
      </c>
      <c r="C152" s="685" t="s">
        <v>335</v>
      </c>
      <c r="D152" s="364"/>
      <c r="E152" s="364"/>
      <c r="F152" s="364"/>
      <c r="G152" s="215"/>
    </row>
    <row r="153" spans="1:7" ht="18.75" customHeight="1">
      <c r="A153" s="27"/>
      <c r="B153" s="78" t="s">
        <v>84</v>
      </c>
      <c r="C153" s="686" t="s">
        <v>336</v>
      </c>
      <c r="D153" s="353"/>
      <c r="E153" s="353"/>
      <c r="F153" s="353"/>
      <c r="G153" s="215"/>
    </row>
    <row r="154" spans="1:7" ht="11.25" customHeight="1">
      <c r="A154" s="27"/>
      <c r="B154" s="687"/>
      <c r="C154" s="583"/>
      <c r="D154" s="583"/>
      <c r="E154" s="583"/>
      <c r="F154" s="584"/>
      <c r="G154" s="215"/>
    </row>
    <row r="155" spans="1:7" ht="18.75" customHeight="1">
      <c r="A155" s="27"/>
      <c r="B155" s="128" t="b">
        <v>0</v>
      </c>
      <c r="C155" s="485" t="s">
        <v>337</v>
      </c>
      <c r="D155" s="345"/>
      <c r="E155" s="345"/>
      <c r="F155" s="346"/>
      <c r="G155" s="215"/>
    </row>
    <row r="156" spans="1:7" ht="11.25" customHeight="1">
      <c r="A156" s="27"/>
      <c r="B156" s="446"/>
      <c r="C156" s="353"/>
      <c r="D156" s="353"/>
      <c r="E156" s="353"/>
      <c r="F156" s="353"/>
      <c r="G156" s="215"/>
    </row>
    <row r="157" spans="1:7" ht="18.75" customHeight="1">
      <c r="A157" s="141"/>
      <c r="B157" s="592"/>
      <c r="C157" s="353"/>
      <c r="D157" s="353"/>
      <c r="E157" s="353"/>
      <c r="F157" s="353"/>
      <c r="G157" s="180"/>
    </row>
    <row r="158" spans="1:7" ht="18.75" customHeight="1">
      <c r="A158" s="181"/>
      <c r="B158" s="535" t="str">
        <f>CONCATENATE(TEXT(SUMÁRIO!D7-17,"DD")," de ",TEXT(SUMÁRIO!D7-17,"MMMM")," - Otimização da Campanha de Captação")</f>
        <v>07 de fevereiro - Otimização da Campanha de Captação</v>
      </c>
      <c r="C158" s="536"/>
      <c r="D158" s="536"/>
      <c r="E158" s="536"/>
      <c r="F158" s="537"/>
      <c r="G158" s="182"/>
    </row>
    <row r="159" spans="1:7" ht="18.75" customHeight="1">
      <c r="A159" s="141"/>
      <c r="B159" s="208" t="s">
        <v>184</v>
      </c>
      <c r="C159" s="581" t="s">
        <v>308</v>
      </c>
      <c r="D159" s="353"/>
      <c r="E159" s="353"/>
      <c r="F159" s="353"/>
      <c r="G159" s="180"/>
    </row>
    <row r="160" spans="1:7" ht="11.25" customHeight="1">
      <c r="A160" s="141"/>
      <c r="B160" s="582"/>
      <c r="C160" s="583"/>
      <c r="D160" s="583"/>
      <c r="E160" s="583"/>
      <c r="F160" s="584"/>
      <c r="G160" s="180"/>
    </row>
    <row r="161" spans="1:7" ht="18.75" customHeight="1">
      <c r="A161" s="141"/>
      <c r="B161" s="585" t="s">
        <v>309</v>
      </c>
      <c r="C161" s="510"/>
      <c r="D161" s="209"/>
      <c r="E161" s="585" t="s">
        <v>310</v>
      </c>
      <c r="F161" s="346"/>
      <c r="G161" s="180"/>
    </row>
    <row r="162" spans="1:7" ht="18.75" customHeight="1">
      <c r="A162" s="141"/>
      <c r="B162" s="191" t="s">
        <v>84</v>
      </c>
      <c r="C162" s="210" t="s">
        <v>311</v>
      </c>
      <c r="D162" s="586"/>
      <c r="E162" s="191" t="s">
        <v>84</v>
      </c>
      <c r="F162" s="211" t="s">
        <v>311</v>
      </c>
      <c r="G162" s="180"/>
    </row>
    <row r="163" spans="1:7" ht="18.75" customHeight="1">
      <c r="A163" s="141"/>
      <c r="B163" s="589" t="b">
        <v>0</v>
      </c>
      <c r="C163" s="590" t="s">
        <v>321</v>
      </c>
      <c r="D163" s="587"/>
      <c r="E163" s="199" t="b">
        <v>0</v>
      </c>
      <c r="F163" s="90" t="s">
        <v>321</v>
      </c>
      <c r="G163" s="180"/>
    </row>
    <row r="164" spans="1:7" ht="18.75" customHeight="1">
      <c r="A164" s="141"/>
      <c r="B164" s="474"/>
      <c r="C164" s="588"/>
      <c r="D164" s="588"/>
      <c r="E164" s="199" t="b">
        <v>0</v>
      </c>
      <c r="F164" s="90" t="s">
        <v>323</v>
      </c>
      <c r="G164" s="180"/>
    </row>
    <row r="165" spans="1:7" ht="11.25" customHeight="1">
      <c r="A165" s="141"/>
      <c r="B165" s="688"/>
      <c r="C165" s="583"/>
      <c r="D165" s="583"/>
      <c r="E165" s="583"/>
      <c r="F165" s="584"/>
      <c r="G165" s="180"/>
    </row>
    <row r="166" spans="1:7" ht="18.75" customHeight="1">
      <c r="A166" s="141"/>
      <c r="B166" s="592"/>
      <c r="C166" s="353"/>
      <c r="D166" s="353"/>
      <c r="E166" s="353"/>
      <c r="F166" s="353"/>
      <c r="G166" s="180"/>
    </row>
    <row r="167" spans="1:7" ht="22.5" customHeight="1">
      <c r="A167" s="181"/>
      <c r="B167" s="535" t="str">
        <f>CONCATENATE(TEXT(SUMÁRIO!D7-17,"DD")," de ",TEXT(SUMÁRIO!D7-17,"MMMM")," - Conteúdo de AQUECIMENTO")</f>
        <v>07 de fevereiro - Conteúdo de AQUECIMENTO</v>
      </c>
      <c r="C167" s="536"/>
      <c r="D167" s="536"/>
      <c r="E167" s="536"/>
      <c r="F167" s="537"/>
      <c r="G167" s="182"/>
    </row>
    <row r="168" spans="1:7" ht="18.75" customHeight="1">
      <c r="A168" s="141"/>
      <c r="B168" s="187" t="b">
        <v>0</v>
      </c>
      <c r="C168" s="598" t="s">
        <v>297</v>
      </c>
      <c r="D168" s="599"/>
      <c r="E168" s="599"/>
      <c r="F168" s="600"/>
      <c r="G168" s="180"/>
    </row>
    <row r="169" spans="1:7" ht="18.75" customHeight="1">
      <c r="A169" s="141"/>
      <c r="B169" s="187" t="b">
        <v>0</v>
      </c>
      <c r="C169" s="598" t="s">
        <v>298</v>
      </c>
      <c r="D169" s="599"/>
      <c r="E169" s="599"/>
      <c r="F169" s="600"/>
      <c r="G169" s="180"/>
    </row>
    <row r="170" spans="1:7" ht="18.75" customHeight="1">
      <c r="A170" s="141"/>
      <c r="B170" s="187" t="b">
        <v>0</v>
      </c>
      <c r="C170" s="598" t="s">
        <v>299</v>
      </c>
      <c r="D170" s="599"/>
      <c r="E170" s="599"/>
      <c r="F170" s="600"/>
      <c r="G170" s="180"/>
    </row>
    <row r="171" spans="1:7" ht="11.25" customHeight="1">
      <c r="A171" s="141"/>
      <c r="B171" s="601"/>
      <c r="C171" s="468"/>
      <c r="D171" s="468"/>
      <c r="E171" s="468"/>
      <c r="F171" s="469"/>
      <c r="G171" s="180"/>
    </row>
    <row r="172" spans="1:7" ht="18.75" customHeight="1">
      <c r="A172" s="141"/>
      <c r="B172" s="592"/>
      <c r="C172" s="353"/>
      <c r="D172" s="353"/>
      <c r="E172" s="353"/>
      <c r="F172" s="353"/>
      <c r="G172" s="180"/>
    </row>
    <row r="173" spans="1:7" ht="18.75" customHeight="1">
      <c r="A173" s="27"/>
      <c r="B173" s="593" t="str">
        <f>CONCATENATE(TEXT(SUMÁRIO!D7-16,"DD")," de ",TEXT(SUMÁRIO!D7-16,"MMMM")," - Roteiros CPL 3 e Vídeo de Vendas")</f>
        <v>08 de fevereiro - Roteiros CPL 3 e Vídeo de Vendas</v>
      </c>
      <c r="C173" s="594"/>
      <c r="D173" s="594"/>
      <c r="E173" s="594"/>
      <c r="F173" s="595"/>
      <c r="G173" s="215"/>
    </row>
    <row r="174" spans="1:7" ht="18.75" customHeight="1">
      <c r="A174" s="27"/>
      <c r="B174" s="216" t="s">
        <v>184</v>
      </c>
      <c r="C174" s="689" t="s">
        <v>338</v>
      </c>
      <c r="D174" s="394"/>
      <c r="E174" s="394"/>
      <c r="F174" s="396"/>
      <c r="G174" s="215"/>
    </row>
    <row r="175" spans="1:7" ht="18.75" customHeight="1">
      <c r="A175" s="27"/>
      <c r="B175" s="217" t="s">
        <v>84</v>
      </c>
      <c r="C175" s="686" t="s">
        <v>339</v>
      </c>
      <c r="D175" s="353"/>
      <c r="E175" s="353"/>
      <c r="F175" s="353"/>
      <c r="G175" s="215"/>
    </row>
    <row r="176" spans="1:7" ht="11.25" customHeight="1">
      <c r="A176" s="27"/>
      <c r="B176" s="617"/>
      <c r="C176" s="468"/>
      <c r="D176" s="468"/>
      <c r="E176" s="468"/>
      <c r="F176" s="468"/>
      <c r="G176" s="215"/>
    </row>
    <row r="177" spans="1:7" ht="18.75" customHeight="1">
      <c r="A177" s="27"/>
      <c r="B177" s="533"/>
      <c r="C177" s="690" t="s">
        <v>340</v>
      </c>
      <c r="D177" s="218"/>
      <c r="E177" s="199" t="b">
        <v>0</v>
      </c>
      <c r="F177" s="71" t="s">
        <v>341</v>
      </c>
      <c r="G177" s="215"/>
    </row>
    <row r="178" spans="1:7" ht="18.75" customHeight="1">
      <c r="A178" s="27"/>
      <c r="B178" s="353"/>
      <c r="C178" s="684"/>
      <c r="D178" s="219"/>
      <c r="E178" s="199" t="b">
        <v>0</v>
      </c>
      <c r="F178" s="71" t="s">
        <v>342</v>
      </c>
      <c r="G178" s="215"/>
    </row>
    <row r="179" spans="1:7" ht="18.75" customHeight="1">
      <c r="A179" s="27"/>
      <c r="B179" s="399"/>
      <c r="C179" s="684"/>
      <c r="D179" s="220"/>
      <c r="E179" s="199" t="b">
        <v>0</v>
      </c>
      <c r="F179" s="71" t="s">
        <v>343</v>
      </c>
      <c r="G179" s="215"/>
    </row>
    <row r="180" spans="1:7" ht="18.75" customHeight="1">
      <c r="A180" s="27"/>
      <c r="B180" s="128" t="b">
        <v>0</v>
      </c>
      <c r="C180" s="485" t="s">
        <v>344</v>
      </c>
      <c r="D180" s="345"/>
      <c r="E180" s="345"/>
      <c r="F180" s="346"/>
      <c r="G180" s="215"/>
    </row>
    <row r="181" spans="1:7" ht="18.75" customHeight="1">
      <c r="A181" s="27"/>
      <c r="B181" s="128" t="b">
        <v>0</v>
      </c>
      <c r="C181" s="485" t="s">
        <v>345</v>
      </c>
      <c r="D181" s="345"/>
      <c r="E181" s="345"/>
      <c r="F181" s="346"/>
      <c r="G181" s="215"/>
    </row>
    <row r="182" spans="1:7" ht="11.25" customHeight="1">
      <c r="A182" s="27"/>
      <c r="B182" s="446"/>
      <c r="C182" s="353"/>
      <c r="D182" s="353"/>
      <c r="E182" s="353"/>
      <c r="F182" s="353"/>
      <c r="G182" s="215"/>
    </row>
    <row r="183" spans="1:7" ht="18.75" customHeight="1">
      <c r="A183" s="27"/>
      <c r="B183" s="496"/>
      <c r="C183" s="353"/>
      <c r="D183" s="353"/>
      <c r="E183" s="353"/>
      <c r="F183" s="353"/>
      <c r="G183" s="215"/>
    </row>
    <row r="184" spans="1:7" ht="18.75" customHeight="1">
      <c r="A184" s="181"/>
      <c r="B184" s="535" t="str">
        <f>CONCATENATE(TEXT(SUMÁRIO!D7-16,"DD")," de ",TEXT(SUMÁRIO!D7-16,"MMMM")," - Otimização da Campanha de Captação")</f>
        <v>08 de fevereiro - Otimização da Campanha de Captação</v>
      </c>
      <c r="C184" s="536"/>
      <c r="D184" s="536"/>
      <c r="E184" s="536"/>
      <c r="F184" s="537"/>
      <c r="G184" s="182"/>
    </row>
    <row r="185" spans="1:7" ht="18.75" customHeight="1">
      <c r="A185" s="141"/>
      <c r="B185" s="208" t="s">
        <v>184</v>
      </c>
      <c r="C185" s="581" t="s">
        <v>308</v>
      </c>
      <c r="D185" s="353"/>
      <c r="E185" s="353"/>
      <c r="F185" s="353"/>
      <c r="G185" s="180"/>
    </row>
    <row r="186" spans="1:7" ht="11.25" customHeight="1">
      <c r="A186" s="141"/>
      <c r="B186" s="582"/>
      <c r="C186" s="583"/>
      <c r="D186" s="583"/>
      <c r="E186" s="583"/>
      <c r="F186" s="584"/>
      <c r="G186" s="180"/>
    </row>
    <row r="187" spans="1:7" ht="18.75" customHeight="1">
      <c r="A187" s="141"/>
      <c r="B187" s="585" t="s">
        <v>309</v>
      </c>
      <c r="C187" s="510"/>
      <c r="D187" s="209"/>
      <c r="E187" s="585" t="s">
        <v>310</v>
      </c>
      <c r="F187" s="346"/>
      <c r="G187" s="180"/>
    </row>
    <row r="188" spans="1:7" ht="18.75" customHeight="1">
      <c r="A188" s="141"/>
      <c r="B188" s="191" t="s">
        <v>84</v>
      </c>
      <c r="C188" s="210" t="s">
        <v>311</v>
      </c>
      <c r="D188" s="586"/>
      <c r="E188" s="191" t="s">
        <v>84</v>
      </c>
      <c r="F188" s="211" t="s">
        <v>311</v>
      </c>
      <c r="G188" s="180"/>
    </row>
    <row r="189" spans="1:7" ht="18.75" customHeight="1">
      <c r="A189" s="141"/>
      <c r="B189" s="589" t="b">
        <v>0</v>
      </c>
      <c r="C189" s="590" t="s">
        <v>321</v>
      </c>
      <c r="D189" s="587"/>
      <c r="E189" s="199" t="b">
        <v>0</v>
      </c>
      <c r="F189" s="90" t="s">
        <v>321</v>
      </c>
      <c r="G189" s="180"/>
    </row>
    <row r="190" spans="1:7" ht="18.75" customHeight="1">
      <c r="A190" s="141"/>
      <c r="B190" s="474"/>
      <c r="C190" s="588"/>
      <c r="D190" s="588"/>
      <c r="E190" s="199" t="b">
        <v>0</v>
      </c>
      <c r="F190" s="90" t="s">
        <v>323</v>
      </c>
      <c r="G190" s="180"/>
    </row>
    <row r="191" spans="1:7" ht="18.75" customHeight="1">
      <c r="A191" s="141"/>
      <c r="B191" s="128" t="b">
        <v>0</v>
      </c>
      <c r="C191" s="89" t="s">
        <v>346</v>
      </c>
      <c r="D191" s="138"/>
      <c r="E191" s="199" t="b">
        <v>0</v>
      </c>
      <c r="F191" s="221" t="s">
        <v>346</v>
      </c>
      <c r="G191" s="180"/>
    </row>
    <row r="192" spans="1:7" ht="11.25" customHeight="1">
      <c r="A192" s="141"/>
      <c r="B192" s="688"/>
      <c r="C192" s="583"/>
      <c r="D192" s="583"/>
      <c r="E192" s="583"/>
      <c r="F192" s="584"/>
      <c r="G192" s="180"/>
    </row>
    <row r="193" spans="1:7" ht="18.75" customHeight="1">
      <c r="A193" s="27"/>
      <c r="B193" s="691"/>
      <c r="C193" s="353"/>
      <c r="D193" s="353"/>
      <c r="E193" s="353"/>
      <c r="F193" s="360"/>
      <c r="G193" s="215"/>
    </row>
    <row r="194" spans="1:7" ht="22.5" customHeight="1">
      <c r="A194" s="181"/>
      <c r="B194" s="535" t="str">
        <f>CONCATENATE(TEXT(SUMÁRIO!D7-16,"DD")," de ",TEXT(SUMÁRIO!D7-16,"MMMM")," - Conteúdo de AQUECIMENTO")</f>
        <v>08 de fevereiro - Conteúdo de AQUECIMENTO</v>
      </c>
      <c r="C194" s="536"/>
      <c r="D194" s="536"/>
      <c r="E194" s="536"/>
      <c r="F194" s="537"/>
      <c r="G194" s="182"/>
    </row>
    <row r="195" spans="1:7" ht="18.75" customHeight="1">
      <c r="A195" s="141"/>
      <c r="B195" s="187" t="b">
        <v>0</v>
      </c>
      <c r="C195" s="598" t="s">
        <v>297</v>
      </c>
      <c r="D195" s="599"/>
      <c r="E195" s="599"/>
      <c r="F195" s="600"/>
      <c r="G195" s="180"/>
    </row>
    <row r="196" spans="1:7" ht="18.75" customHeight="1">
      <c r="A196" s="141"/>
      <c r="B196" s="187" t="b">
        <v>0</v>
      </c>
      <c r="C196" s="598" t="s">
        <v>298</v>
      </c>
      <c r="D196" s="599"/>
      <c r="E196" s="599"/>
      <c r="F196" s="600"/>
      <c r="G196" s="180"/>
    </row>
    <row r="197" spans="1:7" ht="18.75" customHeight="1">
      <c r="A197" s="141"/>
      <c r="B197" s="187" t="b">
        <v>0</v>
      </c>
      <c r="C197" s="598" t="s">
        <v>299</v>
      </c>
      <c r="D197" s="599"/>
      <c r="E197" s="599"/>
      <c r="F197" s="600"/>
      <c r="G197" s="180"/>
    </row>
    <row r="198" spans="1:7" ht="11.25" customHeight="1">
      <c r="A198" s="141"/>
      <c r="B198" s="446"/>
      <c r="C198" s="353"/>
      <c r="D198" s="353"/>
      <c r="E198" s="353"/>
      <c r="F198" s="360"/>
      <c r="G198" s="180"/>
    </row>
    <row r="199" spans="1:7" ht="18.75" customHeight="1">
      <c r="A199" s="141"/>
      <c r="B199" s="592"/>
      <c r="C199" s="353"/>
      <c r="D199" s="353"/>
      <c r="E199" s="353"/>
      <c r="F199" s="353"/>
      <c r="G199" s="180"/>
    </row>
    <row r="200" spans="1:7" ht="22.5" customHeight="1">
      <c r="A200" s="181"/>
      <c r="B200" s="535" t="str">
        <f>CONCATENATE(TEXT(SUMÁRIO!D7-15,"DD")," de ",TEXT(SUMÁRIO!D7-15,"MMMM")," - Otimização da Campanha de Captação")</f>
        <v>09 de fevereiro - Otimização da Campanha de Captação</v>
      </c>
      <c r="C200" s="536"/>
      <c r="D200" s="536"/>
      <c r="E200" s="536"/>
      <c r="F200" s="537"/>
      <c r="G200" s="182"/>
    </row>
    <row r="201" spans="1:7" ht="18.75" customHeight="1">
      <c r="A201" s="141"/>
      <c r="B201" s="208" t="s">
        <v>184</v>
      </c>
      <c r="C201" s="581" t="s">
        <v>308</v>
      </c>
      <c r="D201" s="353"/>
      <c r="E201" s="353"/>
      <c r="F201" s="353"/>
      <c r="G201" s="180"/>
    </row>
    <row r="202" spans="1:7" ht="11.25" customHeight="1">
      <c r="A202" s="141"/>
      <c r="B202" s="582"/>
      <c r="C202" s="583"/>
      <c r="D202" s="583"/>
      <c r="E202" s="583"/>
      <c r="F202" s="584"/>
      <c r="G202" s="180"/>
    </row>
    <row r="203" spans="1:7" ht="18.75" customHeight="1">
      <c r="A203" s="141"/>
      <c r="B203" s="585" t="s">
        <v>309</v>
      </c>
      <c r="C203" s="510"/>
      <c r="D203" s="209"/>
      <c r="E203" s="585" t="s">
        <v>310</v>
      </c>
      <c r="F203" s="346"/>
      <c r="G203" s="180"/>
    </row>
    <row r="204" spans="1:7" ht="18.75" customHeight="1">
      <c r="A204" s="141"/>
      <c r="B204" s="191" t="s">
        <v>84</v>
      </c>
      <c r="C204" s="210" t="s">
        <v>311</v>
      </c>
      <c r="D204" s="586"/>
      <c r="E204" s="191" t="s">
        <v>84</v>
      </c>
      <c r="F204" s="211" t="s">
        <v>311</v>
      </c>
      <c r="G204" s="180"/>
    </row>
    <row r="205" spans="1:7" ht="18.75" customHeight="1">
      <c r="A205" s="141"/>
      <c r="B205" s="589" t="b">
        <v>0</v>
      </c>
      <c r="C205" s="590" t="s">
        <v>321</v>
      </c>
      <c r="D205" s="587"/>
      <c r="E205" s="199" t="b">
        <v>0</v>
      </c>
      <c r="F205" s="90" t="s">
        <v>321</v>
      </c>
      <c r="G205" s="180"/>
    </row>
    <row r="206" spans="1:7" ht="18.75" customHeight="1">
      <c r="A206" s="141"/>
      <c r="B206" s="474"/>
      <c r="C206" s="588"/>
      <c r="D206" s="588"/>
      <c r="E206" s="199" t="b">
        <v>0</v>
      </c>
      <c r="F206" s="90" t="s">
        <v>323</v>
      </c>
      <c r="G206" s="180"/>
    </row>
    <row r="207" spans="1:7" ht="11.25" customHeight="1">
      <c r="A207" s="141"/>
      <c r="B207" s="591"/>
      <c r="C207" s="353"/>
      <c r="D207" s="353"/>
      <c r="E207" s="353"/>
      <c r="F207" s="353"/>
      <c r="G207" s="180"/>
    </row>
    <row r="208" spans="1:7" ht="18.75" customHeight="1">
      <c r="A208" s="141"/>
      <c r="B208" s="592"/>
      <c r="C208" s="353"/>
      <c r="D208" s="353"/>
      <c r="E208" s="353"/>
      <c r="F208" s="353"/>
      <c r="G208" s="180"/>
    </row>
    <row r="209" spans="1:7" ht="22.5" customHeight="1">
      <c r="A209" s="181"/>
      <c r="B209" s="593" t="str">
        <f>CONCATENATE(TEXT(SUMÁRIO!D7-15,"DD")," de ",TEXT(SUMÁRIO!D7-15,"MMMM")," - Conteúdo de AQUECIMENTO")</f>
        <v>09 de fevereiro - Conteúdo de AQUECIMENTO</v>
      </c>
      <c r="C209" s="594"/>
      <c r="D209" s="594"/>
      <c r="E209" s="594"/>
      <c r="F209" s="595"/>
      <c r="G209" s="182"/>
    </row>
    <row r="210" spans="1:7" ht="18.75" customHeight="1">
      <c r="A210" s="141"/>
      <c r="B210" s="186" t="b">
        <v>0</v>
      </c>
      <c r="C210" s="596" t="s">
        <v>297</v>
      </c>
      <c r="D210" s="597"/>
      <c r="E210" s="597"/>
      <c r="F210" s="507"/>
      <c r="G210" s="180"/>
    </row>
    <row r="211" spans="1:7" ht="18.75" customHeight="1">
      <c r="A211" s="141"/>
      <c r="B211" s="187" t="b">
        <v>0</v>
      </c>
      <c r="C211" s="598" t="s">
        <v>298</v>
      </c>
      <c r="D211" s="599"/>
      <c r="E211" s="599"/>
      <c r="F211" s="600"/>
      <c r="G211" s="180"/>
    </row>
    <row r="212" spans="1:7" ht="18.75" customHeight="1">
      <c r="A212" s="141"/>
      <c r="B212" s="187" t="b">
        <v>0</v>
      </c>
      <c r="C212" s="598" t="s">
        <v>299</v>
      </c>
      <c r="D212" s="599"/>
      <c r="E212" s="599"/>
      <c r="F212" s="600"/>
      <c r="G212" s="180"/>
    </row>
    <row r="213" spans="1:7" ht="18.75" customHeight="1">
      <c r="A213" s="141"/>
      <c r="B213" s="187" t="b">
        <v>0</v>
      </c>
      <c r="C213" s="598" t="s">
        <v>347</v>
      </c>
      <c r="D213" s="599"/>
      <c r="E213" s="599"/>
      <c r="F213" s="600"/>
      <c r="G213" s="180"/>
    </row>
    <row r="214" spans="1:7" ht="11.25" customHeight="1">
      <c r="A214" s="141"/>
      <c r="B214" s="601"/>
      <c r="C214" s="468"/>
      <c r="D214" s="468"/>
      <c r="E214" s="468"/>
      <c r="F214" s="469"/>
      <c r="G214" s="180"/>
    </row>
    <row r="215" spans="1:7" ht="18.75" customHeight="1">
      <c r="A215" s="141"/>
      <c r="B215" s="592"/>
      <c r="C215" s="353"/>
      <c r="D215" s="353"/>
      <c r="E215" s="353"/>
      <c r="F215" s="353"/>
      <c r="G215" s="180"/>
    </row>
    <row r="216" spans="1:7" ht="22.5" customHeight="1">
      <c r="A216" s="181"/>
      <c r="B216" s="602" t="str">
        <f>CONCATENATE(TEXT(SUMÁRIO!D7-14,"DD")," de ",TEXT(SUMÁRIO!D7-14,"MMMM")," - Criação da Campanha de Remarkerting de CPL ")</f>
        <v xml:space="preserve">10 de fevereiro - Criação da Campanha de Remarkerting de CPL </v>
      </c>
      <c r="C216" s="339"/>
      <c r="D216" s="339"/>
      <c r="E216" s="339"/>
      <c r="F216" s="340"/>
      <c r="G216" s="182"/>
    </row>
    <row r="217" spans="1:7" ht="18.75" customHeight="1">
      <c r="A217" s="181"/>
      <c r="B217" s="201" t="s">
        <v>84</v>
      </c>
      <c r="C217" s="603" t="s">
        <v>348</v>
      </c>
      <c r="D217" s="399"/>
      <c r="E217" s="399"/>
      <c r="F217" s="400"/>
      <c r="G217" s="182"/>
    </row>
    <row r="218" spans="1:7" ht="18.75" customHeight="1">
      <c r="A218" s="181"/>
      <c r="B218" s="201" t="s">
        <v>84</v>
      </c>
      <c r="C218" s="604" t="s">
        <v>349</v>
      </c>
      <c r="D218" s="345"/>
      <c r="E218" s="345"/>
      <c r="F218" s="346"/>
      <c r="G218" s="182"/>
    </row>
    <row r="219" spans="1:7" ht="18.75" customHeight="1">
      <c r="A219" s="181"/>
      <c r="B219" s="222" t="s">
        <v>184</v>
      </c>
      <c r="C219" s="605" t="s">
        <v>675</v>
      </c>
      <c r="D219" s="345"/>
      <c r="E219" s="345"/>
      <c r="F219" s="346"/>
      <c r="G219" s="182"/>
    </row>
    <row r="220" spans="1:7" ht="11.25" customHeight="1">
      <c r="A220" s="181"/>
      <c r="B220" s="606"/>
      <c r="C220" s="402"/>
      <c r="D220" s="402"/>
      <c r="E220" s="402"/>
      <c r="F220" s="403"/>
      <c r="G220" s="182"/>
    </row>
    <row r="221" spans="1:7" ht="22.5" customHeight="1">
      <c r="A221" s="181"/>
      <c r="B221" s="607" t="s">
        <v>350</v>
      </c>
      <c r="C221" s="608"/>
      <c r="D221" s="223"/>
      <c r="E221" s="609" t="s">
        <v>310</v>
      </c>
      <c r="F221" s="608"/>
      <c r="G221" s="182"/>
    </row>
    <row r="222" spans="1:7" ht="22.5" customHeight="1">
      <c r="A222" s="181"/>
      <c r="B222" s="127" t="b">
        <v>0</v>
      </c>
      <c r="C222" s="224" t="s">
        <v>351</v>
      </c>
      <c r="D222" s="586"/>
      <c r="E222" s="225" t="b">
        <v>0</v>
      </c>
      <c r="F222" s="129" t="s">
        <v>351</v>
      </c>
      <c r="G222" s="182"/>
    </row>
    <row r="223" spans="1:7" ht="22.5" customHeight="1">
      <c r="A223" s="181"/>
      <c r="B223" s="128" t="b">
        <v>0</v>
      </c>
      <c r="C223" s="226" t="s">
        <v>352</v>
      </c>
      <c r="D223" s="587"/>
      <c r="E223" s="199" t="b">
        <v>0</v>
      </c>
      <c r="F223" s="90" t="s">
        <v>353</v>
      </c>
      <c r="G223" s="182"/>
    </row>
    <row r="224" spans="1:7" ht="38.25">
      <c r="A224" s="181"/>
      <c r="B224" s="128" t="b">
        <v>0</v>
      </c>
      <c r="C224" s="89" t="s">
        <v>354</v>
      </c>
      <c r="D224" s="587"/>
      <c r="E224" s="199" t="b">
        <v>0</v>
      </c>
      <c r="F224" s="90" t="s">
        <v>355</v>
      </c>
      <c r="G224" s="182"/>
    </row>
    <row r="225" spans="1:7" ht="38.25">
      <c r="A225" s="181"/>
      <c r="B225" s="128" t="b">
        <v>0</v>
      </c>
      <c r="C225" s="89" t="s">
        <v>356</v>
      </c>
      <c r="D225" s="587"/>
      <c r="E225" s="199" t="b">
        <v>0</v>
      </c>
      <c r="F225" s="90" t="s">
        <v>357</v>
      </c>
      <c r="G225" s="182"/>
    </row>
    <row r="226" spans="1:7" ht="22.5" customHeight="1">
      <c r="A226" s="181"/>
      <c r="B226" s="128" t="b">
        <v>0</v>
      </c>
      <c r="C226" s="227" t="s">
        <v>358</v>
      </c>
      <c r="D226" s="588"/>
      <c r="E226" s="199" t="b">
        <v>0</v>
      </c>
      <c r="F226" s="90" t="s">
        <v>358</v>
      </c>
      <c r="G226" s="182"/>
    </row>
    <row r="227" spans="1:7" ht="11.25" customHeight="1">
      <c r="A227" s="181"/>
      <c r="B227" s="69"/>
      <c r="C227" s="485"/>
      <c r="D227" s="345"/>
      <c r="E227" s="345"/>
      <c r="F227" s="346"/>
      <c r="G227" s="182"/>
    </row>
    <row r="228" spans="1:7" ht="22.5" customHeight="1">
      <c r="A228" s="181"/>
      <c r="B228" s="610"/>
      <c r="C228" s="353"/>
      <c r="D228" s="353"/>
      <c r="E228" s="353"/>
      <c r="F228" s="353"/>
      <c r="G228" s="182"/>
    </row>
    <row r="229" spans="1:7" ht="22.5" customHeight="1">
      <c r="A229" s="181"/>
      <c r="B229" s="535" t="str">
        <f>CONCATENATE(TEXT(SUMÁRIO!D7-14,"DD")," de ",TEXT(SUMÁRIO!D7-14,"MMMM")," - Otimização da Campanha de Captação")</f>
        <v>10 de fevereiro - Otimização da Campanha de Captação</v>
      </c>
      <c r="C229" s="536"/>
      <c r="D229" s="536"/>
      <c r="E229" s="536"/>
      <c r="F229" s="537"/>
      <c r="G229" s="182"/>
    </row>
    <row r="230" spans="1:7" ht="18.75" customHeight="1">
      <c r="A230" s="141"/>
      <c r="B230" s="208" t="s">
        <v>184</v>
      </c>
      <c r="C230" s="581" t="s">
        <v>359</v>
      </c>
      <c r="D230" s="353"/>
      <c r="E230" s="353"/>
      <c r="F230" s="353"/>
      <c r="G230" s="180"/>
    </row>
    <row r="231" spans="1:7" ht="11.25" customHeight="1">
      <c r="A231" s="141"/>
      <c r="B231" s="582"/>
      <c r="C231" s="583"/>
      <c r="D231" s="583"/>
      <c r="E231" s="583"/>
      <c r="F231" s="584"/>
      <c r="G231" s="180"/>
    </row>
    <row r="232" spans="1:7" ht="18.75" customHeight="1">
      <c r="A232" s="141"/>
      <c r="B232" s="585" t="s">
        <v>309</v>
      </c>
      <c r="C232" s="510"/>
      <c r="D232" s="209"/>
      <c r="E232" s="585" t="s">
        <v>310</v>
      </c>
      <c r="F232" s="346"/>
      <c r="G232" s="180"/>
    </row>
    <row r="233" spans="1:7" ht="18.75" customHeight="1">
      <c r="A233" s="141"/>
      <c r="B233" s="191" t="s">
        <v>84</v>
      </c>
      <c r="C233" s="210" t="s">
        <v>311</v>
      </c>
      <c r="D233" s="586"/>
      <c r="E233" s="191" t="s">
        <v>84</v>
      </c>
      <c r="F233" s="211" t="s">
        <v>311</v>
      </c>
      <c r="G233" s="180"/>
    </row>
    <row r="234" spans="1:7" ht="18.75" customHeight="1">
      <c r="A234" s="141"/>
      <c r="B234" s="589" t="b">
        <v>0</v>
      </c>
      <c r="C234" s="590" t="s">
        <v>321</v>
      </c>
      <c r="D234" s="587"/>
      <c r="E234" s="199" t="b">
        <v>0</v>
      </c>
      <c r="F234" s="90" t="s">
        <v>321</v>
      </c>
      <c r="G234" s="180"/>
    </row>
    <row r="235" spans="1:7" ht="18.75" customHeight="1">
      <c r="A235" s="141"/>
      <c r="B235" s="474"/>
      <c r="C235" s="588"/>
      <c r="D235" s="588"/>
      <c r="E235" s="199" t="b">
        <v>0</v>
      </c>
      <c r="F235" s="90" t="s">
        <v>323</v>
      </c>
      <c r="G235" s="180"/>
    </row>
    <row r="236" spans="1:7" ht="11.25" customHeight="1">
      <c r="A236" s="141"/>
      <c r="B236" s="591"/>
      <c r="C236" s="353"/>
      <c r="D236" s="353"/>
      <c r="E236" s="353"/>
      <c r="F236" s="353"/>
      <c r="G236" s="180"/>
    </row>
    <row r="237" spans="1:7" ht="18.75" customHeight="1">
      <c r="A237" s="141"/>
      <c r="B237" s="592"/>
      <c r="C237" s="353"/>
      <c r="D237" s="353"/>
      <c r="E237" s="353"/>
      <c r="F237" s="353"/>
      <c r="G237" s="180"/>
    </row>
    <row r="238" spans="1:7" ht="22.5" customHeight="1">
      <c r="A238" s="181"/>
      <c r="B238" s="535" t="str">
        <f>CONCATENATE(TEXT(SUMÁRIO!D7-14,"DD")," de ",TEXT(SUMÁRIO!D7-14,"MMMM")," - Conteúdo de AQUECIMENTO")</f>
        <v>10 de fevereiro - Conteúdo de AQUECIMENTO</v>
      </c>
      <c r="C238" s="536"/>
      <c r="D238" s="536"/>
      <c r="E238" s="536"/>
      <c r="F238" s="537"/>
      <c r="G238" s="182"/>
    </row>
    <row r="239" spans="1:7" ht="18.75" customHeight="1">
      <c r="A239" s="141"/>
      <c r="B239" s="187" t="b">
        <v>0</v>
      </c>
      <c r="C239" s="598" t="s">
        <v>360</v>
      </c>
      <c r="D239" s="599"/>
      <c r="E239" s="599"/>
      <c r="F239" s="600"/>
      <c r="G239" s="180"/>
    </row>
    <row r="240" spans="1:7" ht="18.75" customHeight="1">
      <c r="A240" s="141"/>
      <c r="B240" s="187" t="b">
        <v>0</v>
      </c>
      <c r="C240" s="598" t="s">
        <v>361</v>
      </c>
      <c r="D240" s="599"/>
      <c r="E240" s="599"/>
      <c r="F240" s="600"/>
      <c r="G240" s="180"/>
    </row>
    <row r="241" spans="1:7" ht="18.75" customHeight="1">
      <c r="A241" s="141"/>
      <c r="B241" s="187" t="b">
        <v>0</v>
      </c>
      <c r="C241" s="598" t="s">
        <v>362</v>
      </c>
      <c r="D241" s="599"/>
      <c r="E241" s="599"/>
      <c r="F241" s="600"/>
      <c r="G241" s="180"/>
    </row>
    <row r="242" spans="1:7" ht="18.75" customHeight="1">
      <c r="A242" s="141"/>
      <c r="B242" s="187" t="b">
        <v>0</v>
      </c>
      <c r="C242" s="611" t="s">
        <v>363</v>
      </c>
      <c r="D242" s="599"/>
      <c r="E242" s="599"/>
      <c r="F242" s="600"/>
      <c r="G242" s="180"/>
    </row>
    <row r="243" spans="1:7" ht="18.75" customHeight="1">
      <c r="A243" s="141"/>
      <c r="B243" s="187" t="b">
        <v>0</v>
      </c>
      <c r="C243" s="611" t="s">
        <v>364</v>
      </c>
      <c r="D243" s="599"/>
      <c r="E243" s="599"/>
      <c r="F243" s="600"/>
      <c r="G243" s="180"/>
    </row>
    <row r="244" spans="1:7" ht="11.25" customHeight="1">
      <c r="A244" s="141"/>
      <c r="B244" s="591"/>
      <c r="C244" s="353"/>
      <c r="D244" s="353"/>
      <c r="E244" s="353"/>
      <c r="F244" s="353"/>
      <c r="G244" s="180"/>
    </row>
    <row r="245" spans="1:7" ht="18.75" customHeight="1">
      <c r="A245" s="141"/>
      <c r="B245" s="592"/>
      <c r="C245" s="353"/>
      <c r="D245" s="353"/>
      <c r="E245" s="353"/>
      <c r="F245" s="353"/>
      <c r="G245" s="180"/>
    </row>
    <row r="246" spans="1:7" ht="22.5" customHeight="1">
      <c r="A246" s="181"/>
      <c r="B246" s="593" t="str">
        <f>CONCATENATE(TEXT(SUMÁRIO!D7-13,"DD")," de ",TEXT(SUMÁRIO!D7-13,"MMMM")," - Gravar os CPL's e Vìdeo de Vendas")</f>
        <v>11 de fevereiro - Gravar os CPL's e Vìdeo de Vendas</v>
      </c>
      <c r="C246" s="594"/>
      <c r="D246" s="594"/>
      <c r="E246" s="594"/>
      <c r="F246" s="595"/>
      <c r="G246" s="182"/>
    </row>
    <row r="247" spans="1:7" ht="11.25" customHeight="1">
      <c r="A247" s="181"/>
      <c r="B247" s="446"/>
      <c r="C247" s="353"/>
      <c r="D247" s="353"/>
      <c r="E247" s="353"/>
      <c r="F247" s="353"/>
      <c r="G247" s="182"/>
    </row>
    <row r="248" spans="1:7" ht="18.75" customHeight="1">
      <c r="A248" s="181"/>
      <c r="B248" s="128" t="b">
        <v>0</v>
      </c>
      <c r="C248" s="485" t="s">
        <v>365</v>
      </c>
      <c r="D248" s="345"/>
      <c r="E248" s="345"/>
      <c r="F248" s="346"/>
      <c r="G248" s="182"/>
    </row>
    <row r="249" spans="1:7" ht="18.75" customHeight="1">
      <c r="A249" s="181"/>
      <c r="B249" s="128" t="b">
        <v>0</v>
      </c>
      <c r="C249" s="485" t="s">
        <v>366</v>
      </c>
      <c r="D249" s="350"/>
      <c r="E249" s="350"/>
      <c r="F249" s="351"/>
      <c r="G249" s="182"/>
    </row>
    <row r="250" spans="1:7" ht="18.75" customHeight="1">
      <c r="A250" s="181"/>
      <c r="B250" s="128" t="b">
        <v>0</v>
      </c>
      <c r="C250" s="692" t="s">
        <v>367</v>
      </c>
      <c r="D250" s="348"/>
      <c r="E250" s="348"/>
      <c r="F250" s="349"/>
      <c r="G250" s="182"/>
    </row>
    <row r="251" spans="1:7" ht="11.25" customHeight="1">
      <c r="A251" s="181"/>
      <c r="B251" s="591"/>
      <c r="C251" s="353"/>
      <c r="D251" s="353"/>
      <c r="E251" s="353"/>
      <c r="F251" s="353"/>
      <c r="G251" s="182"/>
    </row>
    <row r="252" spans="1:7" ht="18.75" customHeight="1">
      <c r="A252" s="693"/>
      <c r="B252" s="339"/>
      <c r="C252" s="339"/>
      <c r="D252" s="339"/>
      <c r="E252" s="339"/>
      <c r="F252" s="339"/>
      <c r="G252" s="182"/>
    </row>
    <row r="253" spans="1:7" ht="22.5" customHeight="1">
      <c r="A253" s="181"/>
      <c r="B253" s="535" t="str">
        <f>CONCATENATE(TEXT(SUMÁRIO!D7-13,"DD")," de ",TEXT(SUMÁRIO!D7-13,"MMMM")," - Otimização da Campanha de Captação")</f>
        <v>11 de fevereiro - Otimização da Campanha de Captação</v>
      </c>
      <c r="C253" s="536"/>
      <c r="D253" s="536"/>
      <c r="E253" s="536"/>
      <c r="F253" s="537"/>
      <c r="G253" s="182"/>
    </row>
    <row r="254" spans="1:7" ht="18.75" customHeight="1">
      <c r="A254" s="141"/>
      <c r="B254" s="208" t="s">
        <v>184</v>
      </c>
      <c r="C254" s="581" t="s">
        <v>308</v>
      </c>
      <c r="D254" s="353"/>
      <c r="E254" s="353"/>
      <c r="F254" s="353"/>
      <c r="G254" s="180"/>
    </row>
    <row r="255" spans="1:7" ht="11.25" customHeight="1">
      <c r="A255" s="141"/>
      <c r="B255" s="582"/>
      <c r="C255" s="583"/>
      <c r="D255" s="583"/>
      <c r="E255" s="583"/>
      <c r="F255" s="584"/>
      <c r="G255" s="180"/>
    </row>
    <row r="256" spans="1:7" ht="18.75" customHeight="1">
      <c r="A256" s="141"/>
      <c r="B256" s="585" t="s">
        <v>309</v>
      </c>
      <c r="C256" s="510"/>
      <c r="D256" s="209"/>
      <c r="E256" s="585" t="s">
        <v>310</v>
      </c>
      <c r="F256" s="346"/>
      <c r="G256" s="180"/>
    </row>
    <row r="257" spans="1:7" ht="18.75" customHeight="1">
      <c r="A257" s="141"/>
      <c r="B257" s="191" t="s">
        <v>84</v>
      </c>
      <c r="C257" s="210" t="s">
        <v>311</v>
      </c>
      <c r="D257" s="586"/>
      <c r="E257" s="191" t="s">
        <v>84</v>
      </c>
      <c r="F257" s="211" t="s">
        <v>311</v>
      </c>
      <c r="G257" s="180"/>
    </row>
    <row r="258" spans="1:7" ht="18.75" customHeight="1">
      <c r="A258" s="141"/>
      <c r="B258" s="589" t="b">
        <v>0</v>
      </c>
      <c r="C258" s="590" t="s">
        <v>321</v>
      </c>
      <c r="D258" s="587"/>
      <c r="E258" s="199" t="b">
        <v>0</v>
      </c>
      <c r="F258" s="90" t="s">
        <v>321</v>
      </c>
      <c r="G258" s="180"/>
    </row>
    <row r="259" spans="1:7" ht="18.75" customHeight="1">
      <c r="A259" s="141"/>
      <c r="B259" s="474"/>
      <c r="C259" s="588"/>
      <c r="D259" s="588"/>
      <c r="E259" s="199" t="b">
        <v>0</v>
      </c>
      <c r="F259" s="90" t="s">
        <v>323</v>
      </c>
      <c r="G259" s="180"/>
    </row>
    <row r="260" spans="1:7" ht="18.75" customHeight="1">
      <c r="A260" s="141"/>
      <c r="B260" s="128" t="b">
        <v>0</v>
      </c>
      <c r="C260" s="89" t="s">
        <v>368</v>
      </c>
      <c r="D260" s="138"/>
      <c r="E260" s="199" t="b">
        <v>0</v>
      </c>
      <c r="F260" s="221" t="s">
        <v>368</v>
      </c>
      <c r="G260" s="180"/>
    </row>
    <row r="261" spans="1:7" ht="9" customHeight="1">
      <c r="A261" s="141"/>
      <c r="B261" s="591"/>
      <c r="C261" s="353"/>
      <c r="D261" s="353"/>
      <c r="E261" s="353"/>
      <c r="F261" s="353"/>
      <c r="G261" s="180"/>
    </row>
    <row r="262" spans="1:7" ht="18.75" customHeight="1">
      <c r="A262" s="174"/>
      <c r="B262" s="612"/>
      <c r="C262" s="353"/>
      <c r="D262" s="353"/>
      <c r="E262" s="353"/>
      <c r="F262" s="353"/>
      <c r="G262" s="181"/>
    </row>
    <row r="263" spans="1:7" ht="22.5" customHeight="1">
      <c r="A263" s="181"/>
      <c r="B263" s="535" t="str">
        <f>CONCATENATE(TEXT(SUMÁRIO!D7-13,"DD")," de ",TEXT(SUMÁRIO!D7-13,"MMMM")," - Conteúdo de AQUECIMENTO")</f>
        <v>11 de fevereiro - Conteúdo de AQUECIMENTO</v>
      </c>
      <c r="C263" s="536"/>
      <c r="D263" s="536"/>
      <c r="E263" s="536"/>
      <c r="F263" s="537"/>
      <c r="G263" s="182"/>
    </row>
    <row r="264" spans="1:7" ht="18.75" customHeight="1">
      <c r="A264" s="141"/>
      <c r="B264" s="187" t="b">
        <v>0</v>
      </c>
      <c r="C264" s="598" t="s">
        <v>369</v>
      </c>
      <c r="D264" s="599"/>
      <c r="E264" s="599"/>
      <c r="F264" s="600"/>
      <c r="G264" s="180"/>
    </row>
    <row r="265" spans="1:7" ht="18.75" customHeight="1">
      <c r="A265" s="141"/>
      <c r="B265" s="187" t="b">
        <v>0</v>
      </c>
      <c r="C265" s="598" t="s">
        <v>361</v>
      </c>
      <c r="D265" s="599"/>
      <c r="E265" s="599"/>
      <c r="F265" s="600"/>
      <c r="G265" s="180"/>
    </row>
    <row r="266" spans="1:7" ht="18.75" customHeight="1">
      <c r="A266" s="141"/>
      <c r="B266" s="187" t="b">
        <v>0</v>
      </c>
      <c r="C266" s="598" t="s">
        <v>362</v>
      </c>
      <c r="D266" s="599"/>
      <c r="E266" s="599"/>
      <c r="F266" s="600"/>
      <c r="G266" s="180"/>
    </row>
    <row r="267" spans="1:7" ht="18.75" customHeight="1">
      <c r="A267" s="141"/>
      <c r="B267" s="187" t="b">
        <v>0</v>
      </c>
      <c r="C267" s="598" t="s">
        <v>370</v>
      </c>
      <c r="D267" s="599"/>
      <c r="E267" s="599"/>
      <c r="F267" s="600"/>
      <c r="G267" s="180"/>
    </row>
    <row r="268" spans="1:7" ht="11.25" customHeight="1">
      <c r="A268" s="141"/>
      <c r="B268" s="601"/>
      <c r="C268" s="468"/>
      <c r="D268" s="468"/>
      <c r="E268" s="468"/>
      <c r="F268" s="469"/>
      <c r="G268" s="180"/>
    </row>
    <row r="269" spans="1:7" ht="18.75" customHeight="1">
      <c r="A269" s="141"/>
      <c r="B269" s="592"/>
      <c r="C269" s="353"/>
      <c r="D269" s="353"/>
      <c r="E269" s="353"/>
      <c r="F269" s="353"/>
      <c r="G269" s="180"/>
    </row>
    <row r="270" spans="1:7" ht="22.5" customHeight="1">
      <c r="A270" s="174"/>
      <c r="B270" s="613" t="str">
        <f>CONCATENATE(TEXT(SUMÁRIO!D7-12,"DD")," de ",TEXT(SUMÁRIO!D7-12,"MMMM")," - Planejamento de Conteúdo")</f>
        <v>12 de fevereiro - Planejamento de Conteúdo</v>
      </c>
      <c r="C270" s="594"/>
      <c r="D270" s="594"/>
      <c r="E270" s="594"/>
      <c r="F270" s="595"/>
      <c r="G270" s="181"/>
    </row>
    <row r="271" spans="1:7" ht="12.75">
      <c r="A271" s="27"/>
      <c r="B271" s="614" t="s">
        <v>371</v>
      </c>
      <c r="C271" s="394"/>
      <c r="D271" s="394"/>
      <c r="E271" s="394"/>
      <c r="F271" s="396"/>
      <c r="G271" s="215"/>
    </row>
    <row r="272" spans="1:7" ht="18.75" customHeight="1">
      <c r="A272" s="27"/>
      <c r="B272" s="615" t="s">
        <v>372</v>
      </c>
      <c r="C272" s="353"/>
      <c r="D272" s="353"/>
      <c r="E272" s="353"/>
      <c r="F272" s="353"/>
      <c r="G272" s="215"/>
    </row>
    <row r="273" spans="1:7" ht="18.75" customHeight="1">
      <c r="A273" s="27"/>
      <c r="B273" s="228"/>
      <c r="C273" s="616" t="s">
        <v>373</v>
      </c>
      <c r="D273" s="353"/>
      <c r="E273" s="353"/>
      <c r="F273" s="353"/>
      <c r="G273" s="215"/>
    </row>
    <row r="274" spans="1:7" ht="11.25" customHeight="1">
      <c r="A274" s="27"/>
      <c r="B274" s="617"/>
      <c r="C274" s="468"/>
      <c r="D274" s="468"/>
      <c r="E274" s="468"/>
      <c r="F274" s="468"/>
      <c r="G274" s="215"/>
    </row>
    <row r="275" spans="1:7" ht="18.75" customHeight="1">
      <c r="A275" s="27"/>
      <c r="B275" s="557" t="s">
        <v>374</v>
      </c>
      <c r="C275" s="353"/>
      <c r="D275" s="353"/>
      <c r="E275" s="353"/>
      <c r="F275" s="353"/>
      <c r="G275" s="215"/>
    </row>
    <row r="276" spans="1:7" ht="18.75" customHeight="1">
      <c r="A276" s="27"/>
      <c r="B276" s="128" t="b">
        <v>0</v>
      </c>
      <c r="C276" s="618" t="s">
        <v>375</v>
      </c>
      <c r="D276" s="345"/>
      <c r="E276" s="345"/>
      <c r="F276" s="346"/>
      <c r="G276" s="215"/>
    </row>
    <row r="277" spans="1:7" ht="18.75" customHeight="1">
      <c r="A277" s="27"/>
      <c r="B277" s="69"/>
      <c r="C277" s="619" t="s">
        <v>676</v>
      </c>
      <c r="D277" s="345"/>
      <c r="E277" s="345"/>
      <c r="F277" s="346"/>
      <c r="G277" s="215"/>
    </row>
    <row r="278" spans="1:7" ht="11.25" customHeight="1">
      <c r="A278" s="27"/>
      <c r="B278" s="446"/>
      <c r="C278" s="353"/>
      <c r="D278" s="353"/>
      <c r="E278" s="353"/>
      <c r="F278" s="353"/>
      <c r="G278" s="215"/>
    </row>
    <row r="279" spans="1:7" ht="18.75" customHeight="1">
      <c r="A279" s="141"/>
      <c r="B279" s="592"/>
      <c r="C279" s="353"/>
      <c r="D279" s="353"/>
      <c r="E279" s="353"/>
      <c r="F279" s="353"/>
      <c r="G279" s="180"/>
    </row>
    <row r="280" spans="1:7" ht="22.5" customHeight="1">
      <c r="A280" s="181"/>
      <c r="B280" s="593" t="str">
        <f>CONCATENATE(TEXT(SUMÁRIO!D7-12,"DD")," de ",TEXT(SUMÁRIO!D7-12,"MMMM")," - Otimização da Campanha de Captação")</f>
        <v>12 de fevereiro - Otimização da Campanha de Captação</v>
      </c>
      <c r="C280" s="594"/>
      <c r="D280" s="594"/>
      <c r="E280" s="594"/>
      <c r="F280" s="595"/>
      <c r="G280" s="182"/>
    </row>
    <row r="281" spans="1:7" ht="18.75" customHeight="1">
      <c r="A281" s="141"/>
      <c r="B281" s="208" t="s">
        <v>184</v>
      </c>
      <c r="C281" s="581" t="s">
        <v>308</v>
      </c>
      <c r="D281" s="353"/>
      <c r="E281" s="353"/>
      <c r="F281" s="353"/>
      <c r="G281" s="180"/>
    </row>
    <row r="282" spans="1:7" ht="11.25" customHeight="1">
      <c r="A282" s="141"/>
      <c r="B282" s="582"/>
      <c r="C282" s="583"/>
      <c r="D282" s="583"/>
      <c r="E282" s="583"/>
      <c r="F282" s="584"/>
      <c r="G282" s="180"/>
    </row>
    <row r="283" spans="1:7" ht="18.75" customHeight="1">
      <c r="A283" s="141"/>
      <c r="B283" s="585" t="s">
        <v>309</v>
      </c>
      <c r="C283" s="510"/>
      <c r="D283" s="209"/>
      <c r="E283" s="585" t="s">
        <v>310</v>
      </c>
      <c r="F283" s="346"/>
      <c r="G283" s="180"/>
    </row>
    <row r="284" spans="1:7" ht="18.75" customHeight="1">
      <c r="A284" s="141"/>
      <c r="B284" s="191" t="s">
        <v>84</v>
      </c>
      <c r="C284" s="210" t="s">
        <v>311</v>
      </c>
      <c r="D284" s="586"/>
      <c r="E284" s="191" t="s">
        <v>84</v>
      </c>
      <c r="F284" s="211" t="s">
        <v>311</v>
      </c>
      <c r="G284" s="180"/>
    </row>
    <row r="285" spans="1:7" ht="18.75" customHeight="1">
      <c r="A285" s="141"/>
      <c r="B285" s="198" t="b">
        <v>0</v>
      </c>
      <c r="C285" s="89" t="s">
        <v>321</v>
      </c>
      <c r="D285" s="587"/>
      <c r="E285" s="199" t="b">
        <v>0</v>
      </c>
      <c r="F285" s="90" t="s">
        <v>321</v>
      </c>
      <c r="G285" s="180"/>
    </row>
    <row r="286" spans="1:7" ht="18.75" customHeight="1">
      <c r="A286" s="141"/>
      <c r="B286" s="212"/>
      <c r="C286" s="89" t="s">
        <v>376</v>
      </c>
      <c r="D286" s="587"/>
      <c r="E286" s="199" t="b">
        <v>0</v>
      </c>
      <c r="F286" s="90" t="s">
        <v>333</v>
      </c>
      <c r="G286" s="180"/>
    </row>
    <row r="287" spans="1:7" ht="18.75" customHeight="1">
      <c r="A287" s="141"/>
      <c r="B287" s="620"/>
      <c r="C287" s="400"/>
      <c r="D287" s="588"/>
      <c r="E287" s="199" t="b">
        <v>0</v>
      </c>
      <c r="F287" s="90" t="s">
        <v>376</v>
      </c>
      <c r="G287" s="180"/>
    </row>
    <row r="288" spans="1:7" ht="11.25" customHeight="1">
      <c r="A288" s="141"/>
      <c r="B288" s="591"/>
      <c r="C288" s="353"/>
      <c r="D288" s="353"/>
      <c r="E288" s="353"/>
      <c r="F288" s="353"/>
      <c r="G288" s="180"/>
    </row>
    <row r="289" spans="1:7" ht="18.75" customHeight="1">
      <c r="A289" s="141"/>
      <c r="B289" s="592"/>
      <c r="C289" s="353"/>
      <c r="D289" s="353"/>
      <c r="E289" s="353"/>
      <c r="F289" s="353"/>
      <c r="G289" s="180"/>
    </row>
    <row r="290" spans="1:7" ht="22.5" customHeight="1">
      <c r="A290" s="181"/>
      <c r="B290" s="535" t="str">
        <f>CONCATENATE(TEXT(SUMÁRIO!D7-12,"DD")," de ",TEXT(SUMÁRIO!D7-12,"MMMM")," - Conteúdo de AQUECIMENTO")</f>
        <v>12 de fevereiro - Conteúdo de AQUECIMENTO</v>
      </c>
      <c r="C290" s="536"/>
      <c r="D290" s="536"/>
      <c r="E290" s="536"/>
      <c r="F290" s="537"/>
      <c r="G290" s="182"/>
    </row>
    <row r="291" spans="1:7" ht="18.75" customHeight="1">
      <c r="A291" s="141"/>
      <c r="B291" s="187" t="b">
        <v>0</v>
      </c>
      <c r="C291" s="598" t="s">
        <v>369</v>
      </c>
      <c r="D291" s="599"/>
      <c r="E291" s="599"/>
      <c r="F291" s="600"/>
      <c r="G291" s="180"/>
    </row>
    <row r="292" spans="1:7" ht="18.75" customHeight="1">
      <c r="A292" s="141"/>
      <c r="B292" s="187" t="b">
        <v>0</v>
      </c>
      <c r="C292" s="598" t="s">
        <v>361</v>
      </c>
      <c r="D292" s="599"/>
      <c r="E292" s="599"/>
      <c r="F292" s="600"/>
      <c r="G292" s="180"/>
    </row>
    <row r="293" spans="1:7" ht="18.75" customHeight="1">
      <c r="A293" s="141"/>
      <c r="B293" s="187" t="b">
        <v>0</v>
      </c>
      <c r="C293" s="598" t="s">
        <v>362</v>
      </c>
      <c r="D293" s="599"/>
      <c r="E293" s="599"/>
      <c r="F293" s="600"/>
      <c r="G293" s="180"/>
    </row>
    <row r="294" spans="1:7" ht="18.75" customHeight="1">
      <c r="A294" s="141"/>
      <c r="B294" s="187" t="b">
        <v>0</v>
      </c>
      <c r="C294" s="598" t="s">
        <v>377</v>
      </c>
      <c r="D294" s="599"/>
      <c r="E294" s="599"/>
      <c r="F294" s="600"/>
      <c r="G294" s="180"/>
    </row>
    <row r="295" spans="1:7" ht="11.25" customHeight="1">
      <c r="A295" s="141"/>
      <c r="B295" s="601"/>
      <c r="C295" s="468"/>
      <c r="D295" s="468"/>
      <c r="E295" s="468"/>
      <c r="F295" s="469"/>
      <c r="G295" s="180"/>
    </row>
    <row r="296" spans="1:7" ht="18.75" customHeight="1">
      <c r="A296" s="141"/>
      <c r="B296" s="592"/>
      <c r="C296" s="353"/>
      <c r="D296" s="353"/>
      <c r="E296" s="353"/>
      <c r="F296" s="353"/>
      <c r="G296" s="180"/>
    </row>
    <row r="297" spans="1:7" ht="22.5" customHeight="1">
      <c r="A297" s="174"/>
      <c r="B297" s="535" t="str">
        <f>CONCATENATE(TEXT(SUMÁRIO!D7-11,"DD")," de ",TEXT(SUMÁRIO!D7-11,"MMMM")," - Notificações de Lançamento")</f>
        <v>13 de fevereiro - Notificações de Lançamento</v>
      </c>
      <c r="C297" s="536"/>
      <c r="D297" s="536"/>
      <c r="E297" s="536"/>
      <c r="F297" s="537"/>
      <c r="G297" s="181"/>
    </row>
    <row r="298" spans="1:7" ht="18.75" customHeight="1">
      <c r="A298" s="27"/>
      <c r="B298" s="229" t="s">
        <v>184</v>
      </c>
      <c r="C298" s="621" t="s">
        <v>378</v>
      </c>
      <c r="D298" s="345"/>
      <c r="E298" s="345"/>
      <c r="F298" s="346"/>
      <c r="G298" s="215"/>
    </row>
    <row r="299" spans="1:7" ht="11.25" customHeight="1">
      <c r="A299" s="27"/>
      <c r="B299" s="622"/>
      <c r="C299" s="345"/>
      <c r="D299" s="345"/>
      <c r="E299" s="345"/>
      <c r="F299" s="346"/>
      <c r="G299" s="215"/>
    </row>
    <row r="300" spans="1:7" ht="18.75" customHeight="1">
      <c r="A300" s="27"/>
      <c r="B300" s="623" t="s">
        <v>379</v>
      </c>
      <c r="C300" s="345"/>
      <c r="D300" s="345"/>
      <c r="E300" s="345"/>
      <c r="F300" s="346"/>
      <c r="G300" s="215"/>
    </row>
    <row r="301" spans="1:7" ht="18.75" customHeight="1">
      <c r="A301" s="27"/>
      <c r="B301" s="624" t="s">
        <v>380</v>
      </c>
      <c r="C301" s="597"/>
      <c r="D301" s="597"/>
      <c r="E301" s="507"/>
      <c r="F301" s="230" t="s">
        <v>381</v>
      </c>
      <c r="G301" s="215"/>
    </row>
    <row r="302" spans="1:7" ht="18.75" customHeight="1">
      <c r="A302" s="27"/>
      <c r="B302" s="187" t="b">
        <v>0</v>
      </c>
      <c r="C302" s="625" t="s">
        <v>382</v>
      </c>
      <c r="D302" s="599"/>
      <c r="E302" s="600"/>
      <c r="F302" s="231">
        <f>SUMÁRIO!$D$7-7</f>
        <v>45705</v>
      </c>
      <c r="G302" s="215"/>
    </row>
    <row r="303" spans="1:7" ht="18.75" customHeight="1">
      <c r="A303" s="27"/>
      <c r="B303" s="187" t="b">
        <v>0</v>
      </c>
      <c r="C303" s="598" t="s">
        <v>383</v>
      </c>
      <c r="D303" s="599"/>
      <c r="E303" s="600"/>
      <c r="F303" s="231">
        <f t="shared" ref="F303:F307" si="0">F302+1</f>
        <v>45706</v>
      </c>
      <c r="G303" s="215"/>
    </row>
    <row r="304" spans="1:7" ht="18.75" customHeight="1">
      <c r="A304" s="27"/>
      <c r="B304" s="187" t="b">
        <v>0</v>
      </c>
      <c r="C304" s="598" t="s">
        <v>384</v>
      </c>
      <c r="D304" s="599"/>
      <c r="E304" s="600"/>
      <c r="F304" s="231">
        <f t="shared" si="0"/>
        <v>45707</v>
      </c>
      <c r="G304" s="215"/>
    </row>
    <row r="305" spans="1:7" ht="18.75" customHeight="1">
      <c r="A305" s="27"/>
      <c r="B305" s="187" t="b">
        <v>0</v>
      </c>
      <c r="C305" s="598" t="s">
        <v>385</v>
      </c>
      <c r="D305" s="599"/>
      <c r="E305" s="600"/>
      <c r="F305" s="231">
        <f t="shared" si="0"/>
        <v>45708</v>
      </c>
      <c r="G305" s="215"/>
    </row>
    <row r="306" spans="1:7" ht="18.75" customHeight="1">
      <c r="A306" s="27"/>
      <c r="B306" s="187" t="b">
        <v>0</v>
      </c>
      <c r="C306" s="598" t="s">
        <v>386</v>
      </c>
      <c r="D306" s="599"/>
      <c r="E306" s="600"/>
      <c r="F306" s="231">
        <f t="shared" si="0"/>
        <v>45709</v>
      </c>
      <c r="G306" s="215"/>
    </row>
    <row r="307" spans="1:7" ht="18.75" customHeight="1">
      <c r="A307" s="27"/>
      <c r="B307" s="187" t="b">
        <v>0</v>
      </c>
      <c r="C307" s="598" t="s">
        <v>387</v>
      </c>
      <c r="D307" s="599"/>
      <c r="E307" s="600"/>
      <c r="F307" s="231">
        <f t="shared" si="0"/>
        <v>45710</v>
      </c>
      <c r="G307" s="215"/>
    </row>
    <row r="308" spans="1:7" ht="18.75" customHeight="1">
      <c r="A308" s="27"/>
      <c r="B308" s="187" t="b">
        <v>0</v>
      </c>
      <c r="C308" s="625" t="s">
        <v>388</v>
      </c>
      <c r="D308" s="599"/>
      <c r="E308" s="600"/>
      <c r="F308" s="231">
        <f>F307</f>
        <v>45710</v>
      </c>
      <c r="G308" s="215"/>
    </row>
    <row r="309" spans="1:7" ht="18.75" customHeight="1">
      <c r="A309" s="27"/>
      <c r="B309" s="187" t="b">
        <v>0</v>
      </c>
      <c r="C309" s="598" t="s">
        <v>389</v>
      </c>
      <c r="D309" s="599"/>
      <c r="E309" s="600"/>
      <c r="F309" s="231">
        <f>F308+1</f>
        <v>45711</v>
      </c>
      <c r="G309" s="215"/>
    </row>
    <row r="310" spans="1:7" ht="18.75" customHeight="1">
      <c r="A310" s="27"/>
      <c r="B310" s="626"/>
      <c r="C310" s="583"/>
      <c r="D310" s="583"/>
      <c r="E310" s="583"/>
      <c r="F310" s="584"/>
      <c r="G310" s="215"/>
    </row>
    <row r="311" spans="1:7" ht="18.75" customHeight="1">
      <c r="A311" s="27"/>
      <c r="B311" s="627" t="s">
        <v>390</v>
      </c>
      <c r="C311" s="431"/>
      <c r="D311" s="431"/>
      <c r="E311" s="431"/>
      <c r="F311" s="432"/>
      <c r="G311" s="215"/>
    </row>
    <row r="312" spans="1:7" ht="18.75" customHeight="1">
      <c r="A312" s="27"/>
      <c r="B312" s="624" t="s">
        <v>391</v>
      </c>
      <c r="C312" s="597"/>
      <c r="D312" s="597"/>
      <c r="E312" s="507"/>
      <c r="F312" s="230" t="s">
        <v>381</v>
      </c>
      <c r="G312" s="215"/>
    </row>
    <row r="313" spans="1:7" ht="18.75" customHeight="1">
      <c r="A313" s="27"/>
      <c r="B313" s="187" t="b">
        <v>0</v>
      </c>
      <c r="C313" s="598" t="s">
        <v>392</v>
      </c>
      <c r="D313" s="599"/>
      <c r="E313" s="600"/>
      <c r="F313" s="231">
        <f>SUMÁRIO!$D$7-7</f>
        <v>45705</v>
      </c>
      <c r="G313" s="215"/>
    </row>
    <row r="314" spans="1:7" ht="18.75" customHeight="1">
      <c r="A314" s="27"/>
      <c r="B314" s="187" t="b">
        <v>0</v>
      </c>
      <c r="C314" s="598" t="s">
        <v>393</v>
      </c>
      <c r="D314" s="599"/>
      <c r="E314" s="600"/>
      <c r="F314" s="231">
        <f>F313</f>
        <v>45705</v>
      </c>
      <c r="G314" s="215"/>
    </row>
    <row r="315" spans="1:7" ht="18.75" customHeight="1">
      <c r="A315" s="27"/>
      <c r="B315" s="187" t="b">
        <v>0</v>
      </c>
      <c r="C315" s="598" t="s">
        <v>394</v>
      </c>
      <c r="D315" s="599"/>
      <c r="E315" s="600"/>
      <c r="F315" s="231">
        <f>F314+1</f>
        <v>45706</v>
      </c>
      <c r="G315" s="215"/>
    </row>
    <row r="316" spans="1:7" ht="18.75" customHeight="1">
      <c r="A316" s="27"/>
      <c r="B316" s="187" t="b">
        <v>0</v>
      </c>
      <c r="C316" s="598" t="s">
        <v>395</v>
      </c>
      <c r="D316" s="599"/>
      <c r="E316" s="600"/>
      <c r="F316" s="231">
        <f>F315</f>
        <v>45706</v>
      </c>
      <c r="G316" s="215"/>
    </row>
    <row r="317" spans="1:7" ht="18.75" customHeight="1">
      <c r="A317" s="27"/>
      <c r="B317" s="187" t="b">
        <v>0</v>
      </c>
      <c r="C317" s="598" t="s">
        <v>396</v>
      </c>
      <c r="D317" s="599"/>
      <c r="E317" s="600"/>
      <c r="F317" s="231">
        <f>F316+1</f>
        <v>45707</v>
      </c>
      <c r="G317" s="215"/>
    </row>
    <row r="318" spans="1:7" ht="18.75" customHeight="1">
      <c r="A318" s="27"/>
      <c r="B318" s="187" t="b">
        <v>0</v>
      </c>
      <c r="C318" s="598" t="s">
        <v>397</v>
      </c>
      <c r="D318" s="599"/>
      <c r="E318" s="600"/>
      <c r="F318" s="231">
        <f>F317</f>
        <v>45707</v>
      </c>
      <c r="G318" s="215"/>
    </row>
    <row r="319" spans="1:7" ht="18.75" customHeight="1">
      <c r="A319" s="27"/>
      <c r="B319" s="187" t="b">
        <v>0</v>
      </c>
      <c r="C319" s="598" t="s">
        <v>398</v>
      </c>
      <c r="D319" s="599"/>
      <c r="E319" s="600"/>
      <c r="F319" s="231">
        <f>F318+1</f>
        <v>45708</v>
      </c>
      <c r="G319" s="215"/>
    </row>
    <row r="320" spans="1:7" ht="18.75" customHeight="1">
      <c r="A320" s="27"/>
      <c r="B320" s="187" t="b">
        <v>0</v>
      </c>
      <c r="C320" s="598" t="s">
        <v>399</v>
      </c>
      <c r="D320" s="599"/>
      <c r="E320" s="600"/>
      <c r="F320" s="231">
        <f>F319</f>
        <v>45708</v>
      </c>
      <c r="G320" s="215"/>
    </row>
    <row r="321" spans="1:7" ht="18.75" customHeight="1">
      <c r="A321" s="27"/>
      <c r="B321" s="187" t="b">
        <v>0</v>
      </c>
      <c r="C321" s="598" t="s">
        <v>400</v>
      </c>
      <c r="D321" s="599"/>
      <c r="E321" s="600"/>
      <c r="F321" s="231">
        <f>F320+1</f>
        <v>45709</v>
      </c>
      <c r="G321" s="215"/>
    </row>
    <row r="322" spans="1:7" ht="18.75" customHeight="1">
      <c r="A322" s="27"/>
      <c r="B322" s="187" t="b">
        <v>0</v>
      </c>
      <c r="C322" s="598" t="s">
        <v>401</v>
      </c>
      <c r="D322" s="599"/>
      <c r="E322" s="600"/>
      <c r="F322" s="231">
        <f>F321</f>
        <v>45709</v>
      </c>
      <c r="G322" s="215"/>
    </row>
    <row r="323" spans="1:7" ht="18.75" customHeight="1">
      <c r="A323" s="27"/>
      <c r="B323" s="187" t="b">
        <v>0</v>
      </c>
      <c r="C323" s="598" t="s">
        <v>402</v>
      </c>
      <c r="D323" s="599"/>
      <c r="E323" s="600"/>
      <c r="F323" s="231">
        <f>F322+1</f>
        <v>45710</v>
      </c>
      <c r="G323" s="215"/>
    </row>
    <row r="324" spans="1:7" ht="18.75" customHeight="1">
      <c r="A324" s="27"/>
      <c r="B324" s="187" t="b">
        <v>0</v>
      </c>
      <c r="C324" s="598" t="s">
        <v>403</v>
      </c>
      <c r="D324" s="599"/>
      <c r="E324" s="600"/>
      <c r="F324" s="231">
        <f t="shared" ref="F324:F325" si="1">F323</f>
        <v>45710</v>
      </c>
      <c r="G324" s="215"/>
    </row>
    <row r="325" spans="1:7" ht="18.75" customHeight="1">
      <c r="A325" s="27"/>
      <c r="B325" s="187" t="b">
        <v>0</v>
      </c>
      <c r="C325" s="598" t="s">
        <v>404</v>
      </c>
      <c r="D325" s="599"/>
      <c r="E325" s="600"/>
      <c r="F325" s="231">
        <f t="shared" si="1"/>
        <v>45710</v>
      </c>
      <c r="G325" s="215"/>
    </row>
    <row r="326" spans="1:7" ht="18.75" customHeight="1">
      <c r="A326" s="27"/>
      <c r="B326" s="187" t="b">
        <v>0</v>
      </c>
      <c r="C326" s="598" t="s">
        <v>405</v>
      </c>
      <c r="D326" s="599"/>
      <c r="E326" s="600"/>
      <c r="F326" s="231">
        <f>F313+6</f>
        <v>45711</v>
      </c>
      <c r="G326" s="215"/>
    </row>
    <row r="327" spans="1:7" ht="18.75" customHeight="1">
      <c r="A327" s="27"/>
      <c r="B327" s="232" t="b">
        <v>0</v>
      </c>
      <c r="C327" s="598" t="str">
        <f>CONCATENATE("Crie e agende o email de ""Última Chamada"" para o dia ",TEXT(SUMÁRIO!D7+5,"DD/MM"))</f>
        <v>Crie e agende o email de "Última Chamada" para o dia 01/03</v>
      </c>
      <c r="D327" s="599"/>
      <c r="E327" s="599"/>
      <c r="F327" s="600"/>
      <c r="G327" s="215"/>
    </row>
    <row r="328" spans="1:7" ht="11.25" customHeight="1">
      <c r="A328" s="27"/>
      <c r="B328" s="553"/>
      <c r="C328" s="353"/>
      <c r="D328" s="353"/>
      <c r="E328" s="353"/>
      <c r="F328" s="360"/>
      <c r="G328" s="215"/>
    </row>
    <row r="329" spans="1:7" ht="22.5" customHeight="1">
      <c r="A329" s="181"/>
      <c r="B329" s="610"/>
      <c r="C329" s="353"/>
      <c r="D329" s="353"/>
      <c r="E329" s="353"/>
      <c r="F329" s="353"/>
      <c r="G329" s="182"/>
    </row>
    <row r="330" spans="1:7" ht="22.5" customHeight="1">
      <c r="A330" s="181"/>
      <c r="B330" s="593" t="str">
        <f>CONCATENATE(TEXT(SUMÁRIO!D7-11,"DD")," de ",TEXT(SUMÁRIO!D7-11,"MMMM")," - Otimização da Campanha de Captação")</f>
        <v>13 de fevereiro - Otimização da Campanha de Captação</v>
      </c>
      <c r="C330" s="594"/>
      <c r="D330" s="594"/>
      <c r="E330" s="594"/>
      <c r="F330" s="595"/>
      <c r="G330" s="182"/>
    </row>
    <row r="331" spans="1:7" ht="18.75" customHeight="1">
      <c r="A331" s="141"/>
      <c r="B331" s="208" t="s">
        <v>184</v>
      </c>
      <c r="C331" s="581" t="s">
        <v>308</v>
      </c>
      <c r="D331" s="353"/>
      <c r="E331" s="353"/>
      <c r="F331" s="353"/>
      <c r="G331" s="180"/>
    </row>
    <row r="332" spans="1:7" ht="11.25" customHeight="1">
      <c r="A332" s="141"/>
      <c r="B332" s="582"/>
      <c r="C332" s="583"/>
      <c r="D332" s="583"/>
      <c r="E332" s="583"/>
      <c r="F332" s="584"/>
      <c r="G332" s="180"/>
    </row>
    <row r="333" spans="1:7" ht="18.75" customHeight="1">
      <c r="A333" s="141"/>
      <c r="B333" s="585" t="s">
        <v>309</v>
      </c>
      <c r="C333" s="510"/>
      <c r="D333" s="209"/>
      <c r="E333" s="585" t="s">
        <v>310</v>
      </c>
      <c r="F333" s="346"/>
      <c r="G333" s="180"/>
    </row>
    <row r="334" spans="1:7" ht="18.75" customHeight="1">
      <c r="A334" s="141"/>
      <c r="B334" s="191" t="s">
        <v>84</v>
      </c>
      <c r="C334" s="210" t="s">
        <v>311</v>
      </c>
      <c r="D334" s="586"/>
      <c r="E334" s="191" t="s">
        <v>84</v>
      </c>
      <c r="F334" s="211" t="s">
        <v>311</v>
      </c>
      <c r="G334" s="180"/>
    </row>
    <row r="335" spans="1:7" ht="18.75" customHeight="1">
      <c r="A335" s="141"/>
      <c r="B335" s="589" t="b">
        <v>0</v>
      </c>
      <c r="C335" s="590" t="s">
        <v>321</v>
      </c>
      <c r="D335" s="587"/>
      <c r="E335" s="199" t="b">
        <v>0</v>
      </c>
      <c r="F335" s="90" t="s">
        <v>321</v>
      </c>
      <c r="G335" s="180"/>
    </row>
    <row r="336" spans="1:7" ht="18.75" customHeight="1">
      <c r="A336" s="141"/>
      <c r="B336" s="474"/>
      <c r="C336" s="588"/>
      <c r="D336" s="588"/>
      <c r="E336" s="199" t="b">
        <v>0</v>
      </c>
      <c r="F336" s="90" t="s">
        <v>323</v>
      </c>
      <c r="G336" s="180"/>
    </row>
    <row r="337" spans="1:7" ht="11.25" customHeight="1">
      <c r="A337" s="141"/>
      <c r="B337" s="591"/>
      <c r="C337" s="353"/>
      <c r="D337" s="353"/>
      <c r="E337" s="353"/>
      <c r="F337" s="353"/>
      <c r="G337" s="180"/>
    </row>
    <row r="338" spans="1:7" ht="18.75" customHeight="1">
      <c r="A338" s="141"/>
      <c r="B338" s="592"/>
      <c r="C338" s="353"/>
      <c r="D338" s="353"/>
      <c r="E338" s="353"/>
      <c r="F338" s="353"/>
      <c r="G338" s="180"/>
    </row>
    <row r="339" spans="1:7" ht="22.5" customHeight="1">
      <c r="A339" s="181"/>
      <c r="B339" s="593" t="str">
        <f>CONCATENATE(TEXT(SUMÁRIO!D7-11,"DD")," de ",TEXT(SUMÁRIO!D7-11,"MMMM")," - Conteúdo de AQUECIMENTO")</f>
        <v>13 de fevereiro - Conteúdo de AQUECIMENTO</v>
      </c>
      <c r="C339" s="594"/>
      <c r="D339" s="594"/>
      <c r="E339" s="594"/>
      <c r="F339" s="595"/>
      <c r="G339" s="182"/>
    </row>
    <row r="340" spans="1:7" ht="18.75" customHeight="1">
      <c r="A340" s="141"/>
      <c r="B340" s="186" t="b">
        <v>0</v>
      </c>
      <c r="C340" s="596" t="s">
        <v>369</v>
      </c>
      <c r="D340" s="597"/>
      <c r="E340" s="597"/>
      <c r="F340" s="507"/>
      <c r="G340" s="180"/>
    </row>
    <row r="341" spans="1:7" ht="18.75" customHeight="1">
      <c r="A341" s="141"/>
      <c r="B341" s="187" t="b">
        <v>0</v>
      </c>
      <c r="C341" s="598" t="s">
        <v>361</v>
      </c>
      <c r="D341" s="599"/>
      <c r="E341" s="599"/>
      <c r="F341" s="600"/>
      <c r="G341" s="180"/>
    </row>
    <row r="342" spans="1:7" ht="18.75" customHeight="1">
      <c r="A342" s="141"/>
      <c r="B342" s="187" t="b">
        <v>0</v>
      </c>
      <c r="C342" s="598" t="s">
        <v>362</v>
      </c>
      <c r="D342" s="599"/>
      <c r="E342" s="599"/>
      <c r="F342" s="600"/>
      <c r="G342" s="180"/>
    </row>
    <row r="343" spans="1:7" ht="18.75" customHeight="1">
      <c r="A343" s="141"/>
      <c r="B343" s="187" t="b">
        <v>0</v>
      </c>
      <c r="C343" s="611" t="s">
        <v>406</v>
      </c>
      <c r="D343" s="599"/>
      <c r="E343" s="599"/>
      <c r="F343" s="600"/>
      <c r="G343" s="180"/>
    </row>
    <row r="344" spans="1:7" ht="18.75" customHeight="1">
      <c r="A344" s="141"/>
      <c r="B344" s="187" t="b">
        <v>0</v>
      </c>
      <c r="C344" s="611" t="s">
        <v>407</v>
      </c>
      <c r="D344" s="599"/>
      <c r="E344" s="599"/>
      <c r="F344" s="600"/>
      <c r="G344" s="180"/>
    </row>
    <row r="345" spans="1:7" ht="11.25" customHeight="1">
      <c r="A345" s="141"/>
      <c r="B345" s="591"/>
      <c r="C345" s="353"/>
      <c r="D345" s="353"/>
      <c r="E345" s="353"/>
      <c r="F345" s="353"/>
      <c r="G345" s="180"/>
    </row>
    <row r="346" spans="1:7" ht="18.75" customHeight="1">
      <c r="A346" s="141"/>
      <c r="B346" s="592"/>
      <c r="C346" s="353"/>
      <c r="D346" s="353"/>
      <c r="E346" s="353"/>
      <c r="F346" s="353"/>
      <c r="G346" s="180"/>
    </row>
    <row r="347" spans="1:7" ht="22.5" customHeight="1">
      <c r="A347" s="181"/>
      <c r="B347" s="593" t="str">
        <f>CONCATENATE(TEXT(SUMÁRIO!D7-10,"DD")," de ",TEXT(SUMÁRIO!D7-10,"MMMM")," - Otimização da Campanha de Captação")</f>
        <v>14 de fevereiro - Otimização da Campanha de Captação</v>
      </c>
      <c r="C347" s="594"/>
      <c r="D347" s="594"/>
      <c r="E347" s="594"/>
      <c r="F347" s="595"/>
      <c r="G347" s="182"/>
    </row>
    <row r="348" spans="1:7" ht="18.75" customHeight="1">
      <c r="A348" s="141"/>
      <c r="B348" s="208" t="s">
        <v>184</v>
      </c>
      <c r="C348" s="581" t="s">
        <v>308</v>
      </c>
      <c r="D348" s="353"/>
      <c r="E348" s="353"/>
      <c r="F348" s="353"/>
      <c r="G348" s="180"/>
    </row>
    <row r="349" spans="1:7" ht="11.25" customHeight="1">
      <c r="A349" s="141"/>
      <c r="B349" s="582"/>
      <c r="C349" s="583"/>
      <c r="D349" s="583"/>
      <c r="E349" s="583"/>
      <c r="F349" s="584"/>
      <c r="G349" s="180"/>
    </row>
    <row r="350" spans="1:7" ht="18.75" customHeight="1">
      <c r="A350" s="141"/>
      <c r="B350" s="585" t="s">
        <v>309</v>
      </c>
      <c r="C350" s="510"/>
      <c r="D350" s="209"/>
      <c r="E350" s="585" t="s">
        <v>310</v>
      </c>
      <c r="F350" s="346"/>
      <c r="G350" s="180"/>
    </row>
    <row r="351" spans="1:7" ht="18.75" customHeight="1">
      <c r="A351" s="141"/>
      <c r="B351" s="191" t="s">
        <v>84</v>
      </c>
      <c r="C351" s="210" t="s">
        <v>311</v>
      </c>
      <c r="D351" s="586"/>
      <c r="E351" s="191" t="s">
        <v>84</v>
      </c>
      <c r="F351" s="211" t="s">
        <v>311</v>
      </c>
      <c r="G351" s="180"/>
    </row>
    <row r="352" spans="1:7" ht="18.75" customHeight="1">
      <c r="A352" s="141"/>
      <c r="B352" s="589" t="b">
        <v>0</v>
      </c>
      <c r="C352" s="590" t="s">
        <v>321</v>
      </c>
      <c r="D352" s="587"/>
      <c r="E352" s="199" t="b">
        <v>0</v>
      </c>
      <c r="F352" s="90" t="s">
        <v>321</v>
      </c>
      <c r="G352" s="180"/>
    </row>
    <row r="353" spans="1:7" ht="18.75" customHeight="1">
      <c r="A353" s="141"/>
      <c r="B353" s="474"/>
      <c r="C353" s="588"/>
      <c r="D353" s="587"/>
      <c r="E353" s="199" t="b">
        <v>0</v>
      </c>
      <c r="F353" s="90" t="s">
        <v>323</v>
      </c>
      <c r="G353" s="180"/>
    </row>
    <row r="354" spans="1:7" ht="18.75" customHeight="1">
      <c r="A354" s="141"/>
      <c r="B354" s="128" t="b">
        <v>0</v>
      </c>
      <c r="C354" s="89" t="s">
        <v>368</v>
      </c>
      <c r="D354" s="588"/>
      <c r="E354" s="199" t="b">
        <v>0</v>
      </c>
      <c r="F354" s="221" t="s">
        <v>368</v>
      </c>
      <c r="G354" s="180"/>
    </row>
    <row r="355" spans="1:7" ht="11.25" customHeight="1">
      <c r="A355" s="141"/>
      <c r="B355" s="591"/>
      <c r="C355" s="353"/>
      <c r="D355" s="353"/>
      <c r="E355" s="353"/>
      <c r="F355" s="353"/>
      <c r="G355" s="180"/>
    </row>
    <row r="356" spans="1:7" ht="18.75" customHeight="1">
      <c r="A356" s="141"/>
      <c r="B356" s="592"/>
      <c r="C356" s="353"/>
      <c r="D356" s="353"/>
      <c r="E356" s="353"/>
      <c r="F356" s="353"/>
      <c r="G356" s="180"/>
    </row>
    <row r="357" spans="1:7" ht="22.5" customHeight="1">
      <c r="A357" s="181"/>
      <c r="B357" s="535" t="str">
        <f>CONCATENATE(TEXT(SUMÁRIO!D7-10,"DD")," de ",TEXT(SUMÁRIO!D7-10,"MMMM")," - Conteúdo de AQUECIMENTO")</f>
        <v>14 de fevereiro - Conteúdo de AQUECIMENTO</v>
      </c>
      <c r="C357" s="536"/>
      <c r="D357" s="536"/>
      <c r="E357" s="536"/>
      <c r="F357" s="537"/>
      <c r="G357" s="182"/>
    </row>
    <row r="358" spans="1:7" ht="18.75" customHeight="1">
      <c r="A358" s="141"/>
      <c r="B358" s="187" t="b">
        <v>0</v>
      </c>
      <c r="C358" s="598" t="s">
        <v>369</v>
      </c>
      <c r="D358" s="599"/>
      <c r="E358" s="599"/>
      <c r="F358" s="600"/>
      <c r="G358" s="180"/>
    </row>
    <row r="359" spans="1:7" ht="18.75" customHeight="1">
      <c r="A359" s="141"/>
      <c r="B359" s="187" t="b">
        <v>0</v>
      </c>
      <c r="C359" s="598" t="s">
        <v>408</v>
      </c>
      <c r="D359" s="599"/>
      <c r="E359" s="599"/>
      <c r="F359" s="600"/>
      <c r="G359" s="180"/>
    </row>
    <row r="360" spans="1:7" ht="18.75" customHeight="1">
      <c r="A360" s="141"/>
      <c r="B360" s="187" t="b">
        <v>0</v>
      </c>
      <c r="C360" s="598" t="s">
        <v>362</v>
      </c>
      <c r="D360" s="599"/>
      <c r="E360" s="599"/>
      <c r="F360" s="600"/>
      <c r="G360" s="180"/>
    </row>
    <row r="361" spans="1:7" ht="11.25" customHeight="1">
      <c r="A361" s="141"/>
      <c r="B361" s="601"/>
      <c r="C361" s="468"/>
      <c r="D361" s="468"/>
      <c r="E361" s="468"/>
      <c r="F361" s="469"/>
      <c r="G361" s="180"/>
    </row>
    <row r="362" spans="1:7" ht="18.75" customHeight="1">
      <c r="A362" s="141"/>
      <c r="B362" s="592"/>
      <c r="C362" s="353"/>
      <c r="D362" s="353"/>
      <c r="E362" s="353"/>
      <c r="F362" s="353"/>
      <c r="G362" s="180"/>
    </row>
    <row r="363" spans="1:7" ht="22.5" customHeight="1">
      <c r="A363" s="181"/>
      <c r="B363" s="535" t="str">
        <f>CONCATENATE(TEXT(SUMÁRIO!D7-9,"DD")," de ",TEXT(SUMÁRIO!D7-9,"MMMM")," - Otimização da Campanha de Captação")</f>
        <v>15 de fevereiro - Otimização da Campanha de Captação</v>
      </c>
      <c r="C363" s="536"/>
      <c r="D363" s="536"/>
      <c r="E363" s="536"/>
      <c r="F363" s="537"/>
      <c r="G363" s="182"/>
    </row>
    <row r="364" spans="1:7" ht="18.75" customHeight="1">
      <c r="A364" s="141"/>
      <c r="B364" s="208" t="s">
        <v>184</v>
      </c>
      <c r="C364" s="581" t="s">
        <v>308</v>
      </c>
      <c r="D364" s="353"/>
      <c r="E364" s="353"/>
      <c r="F364" s="353"/>
      <c r="G364" s="180"/>
    </row>
    <row r="365" spans="1:7" ht="11.25" customHeight="1">
      <c r="A365" s="141"/>
      <c r="B365" s="582"/>
      <c r="C365" s="583"/>
      <c r="D365" s="583"/>
      <c r="E365" s="583"/>
      <c r="F365" s="584"/>
      <c r="G365" s="180"/>
    </row>
    <row r="366" spans="1:7" ht="18.75" customHeight="1">
      <c r="A366" s="141"/>
      <c r="B366" s="585" t="s">
        <v>309</v>
      </c>
      <c r="C366" s="510"/>
      <c r="D366" s="209"/>
      <c r="E366" s="585" t="s">
        <v>310</v>
      </c>
      <c r="F366" s="346"/>
      <c r="G366" s="180"/>
    </row>
    <row r="367" spans="1:7" ht="18.75" customHeight="1">
      <c r="A367" s="141"/>
      <c r="B367" s="191" t="s">
        <v>84</v>
      </c>
      <c r="C367" s="210" t="s">
        <v>311</v>
      </c>
      <c r="D367" s="586"/>
      <c r="E367" s="191" t="s">
        <v>84</v>
      </c>
      <c r="F367" s="211" t="s">
        <v>311</v>
      </c>
      <c r="G367" s="180"/>
    </row>
    <row r="368" spans="1:7" ht="18.75" customHeight="1">
      <c r="A368" s="141"/>
      <c r="B368" s="589" t="b">
        <v>0</v>
      </c>
      <c r="C368" s="590" t="s">
        <v>321</v>
      </c>
      <c r="D368" s="587"/>
      <c r="E368" s="199" t="b">
        <v>0</v>
      </c>
      <c r="F368" s="90" t="s">
        <v>321</v>
      </c>
      <c r="G368" s="180"/>
    </row>
    <row r="369" spans="1:7" ht="18.75" customHeight="1">
      <c r="A369" s="141"/>
      <c r="B369" s="474"/>
      <c r="C369" s="588"/>
      <c r="D369" s="588"/>
      <c r="E369" s="199" t="b">
        <v>0</v>
      </c>
      <c r="F369" s="90" t="s">
        <v>323</v>
      </c>
      <c r="G369" s="180"/>
    </row>
    <row r="370" spans="1:7" ht="11.25" customHeight="1">
      <c r="A370" s="141"/>
      <c r="B370" s="591"/>
      <c r="C370" s="353"/>
      <c r="D370" s="353"/>
      <c r="E370" s="353"/>
      <c r="F370" s="353"/>
      <c r="G370" s="180"/>
    </row>
    <row r="371" spans="1:7" ht="18.75" customHeight="1">
      <c r="A371" s="141"/>
      <c r="B371" s="592"/>
      <c r="C371" s="353"/>
      <c r="D371" s="353"/>
      <c r="E371" s="353"/>
      <c r="F371" s="353"/>
      <c r="G371" s="180"/>
    </row>
    <row r="372" spans="1:7" ht="22.5" customHeight="1">
      <c r="A372" s="181"/>
      <c r="B372" s="593" t="str">
        <f>CONCATENATE(TEXT(SUMÁRIO!D7-9,"DD")," de ",TEXT(SUMÁRIO!D7-9,"MMMM")," - Conteúdo de AQUECIMENTO")</f>
        <v>15 de fevereiro - Conteúdo de AQUECIMENTO</v>
      </c>
      <c r="C372" s="594"/>
      <c r="D372" s="594"/>
      <c r="E372" s="594"/>
      <c r="F372" s="595"/>
      <c r="G372" s="182"/>
    </row>
    <row r="373" spans="1:7" ht="18.75" customHeight="1">
      <c r="A373" s="141"/>
      <c r="B373" s="186" t="b">
        <v>0</v>
      </c>
      <c r="C373" s="596" t="s">
        <v>369</v>
      </c>
      <c r="D373" s="597"/>
      <c r="E373" s="597"/>
      <c r="F373" s="507"/>
      <c r="G373" s="180"/>
    </row>
    <row r="374" spans="1:7" ht="18.75" customHeight="1">
      <c r="A374" s="141"/>
      <c r="B374" s="187" t="b">
        <v>0</v>
      </c>
      <c r="C374" s="598" t="s">
        <v>361</v>
      </c>
      <c r="D374" s="599"/>
      <c r="E374" s="599"/>
      <c r="F374" s="600"/>
      <c r="G374" s="180"/>
    </row>
    <row r="375" spans="1:7" ht="18.75" customHeight="1">
      <c r="A375" s="141"/>
      <c r="B375" s="187" t="b">
        <v>0</v>
      </c>
      <c r="C375" s="598" t="s">
        <v>362</v>
      </c>
      <c r="D375" s="599"/>
      <c r="E375" s="599"/>
      <c r="F375" s="600"/>
      <c r="G375" s="180"/>
    </row>
    <row r="376" spans="1:7" ht="11.25" customHeight="1">
      <c r="A376" s="141"/>
      <c r="B376" s="233"/>
      <c r="C376" s="233"/>
      <c r="D376" s="233"/>
      <c r="E376" s="233"/>
      <c r="F376" s="213"/>
      <c r="G376" s="180"/>
    </row>
    <row r="377" spans="1:7" ht="18.75" customHeight="1">
      <c r="A377" s="141"/>
      <c r="B377" s="592"/>
      <c r="C377" s="353"/>
      <c r="D377" s="353"/>
      <c r="E377" s="353"/>
      <c r="F377" s="353"/>
      <c r="G377" s="180"/>
    </row>
    <row r="378" spans="1:7" ht="22.5" customHeight="1">
      <c r="A378" s="181"/>
      <c r="B378" s="535" t="str">
        <f>CONCATENATE(TEXT(SUMÁRIO!D7-8,"DD")," de ",TEXT(SUMÁRIO!D7-8,"MMMM")," - Otimização da Campanha de Captação")</f>
        <v>16 de fevereiro - Otimização da Campanha de Captação</v>
      </c>
      <c r="C378" s="536"/>
      <c r="D378" s="536"/>
      <c r="E378" s="536"/>
      <c r="F378" s="537"/>
      <c r="G378" s="182"/>
    </row>
    <row r="379" spans="1:7" ht="18.75" customHeight="1">
      <c r="A379" s="141"/>
      <c r="B379" s="208" t="s">
        <v>184</v>
      </c>
      <c r="C379" s="581" t="s">
        <v>308</v>
      </c>
      <c r="D379" s="353"/>
      <c r="E379" s="353"/>
      <c r="F379" s="353"/>
      <c r="G379" s="180"/>
    </row>
    <row r="380" spans="1:7" ht="11.25" customHeight="1">
      <c r="A380" s="141"/>
      <c r="B380" s="582"/>
      <c r="C380" s="583"/>
      <c r="D380" s="583"/>
      <c r="E380" s="583"/>
      <c r="F380" s="584"/>
      <c r="G380" s="180"/>
    </row>
    <row r="381" spans="1:7" ht="18.75" customHeight="1">
      <c r="A381" s="141"/>
      <c r="B381" s="585" t="s">
        <v>309</v>
      </c>
      <c r="C381" s="510"/>
      <c r="D381" s="209"/>
      <c r="E381" s="585" t="s">
        <v>310</v>
      </c>
      <c r="F381" s="346"/>
      <c r="G381" s="180"/>
    </row>
    <row r="382" spans="1:7" ht="18.75" customHeight="1">
      <c r="A382" s="141"/>
      <c r="B382" s="191" t="s">
        <v>84</v>
      </c>
      <c r="C382" s="210" t="s">
        <v>311</v>
      </c>
      <c r="D382" s="586"/>
      <c r="E382" s="191" t="s">
        <v>84</v>
      </c>
      <c r="F382" s="211" t="s">
        <v>311</v>
      </c>
      <c r="G382" s="180"/>
    </row>
    <row r="383" spans="1:7" ht="18.75" customHeight="1">
      <c r="A383" s="141"/>
      <c r="B383" s="589" t="b">
        <v>0</v>
      </c>
      <c r="C383" s="590" t="s">
        <v>321</v>
      </c>
      <c r="D383" s="587"/>
      <c r="E383" s="199" t="b">
        <v>0</v>
      </c>
      <c r="F383" s="90" t="s">
        <v>321</v>
      </c>
      <c r="G383" s="180"/>
    </row>
    <row r="384" spans="1:7" ht="18.75" customHeight="1">
      <c r="A384" s="141"/>
      <c r="B384" s="474"/>
      <c r="C384" s="588"/>
      <c r="D384" s="588"/>
      <c r="E384" s="199" t="b">
        <v>0</v>
      </c>
      <c r="F384" s="90" t="s">
        <v>323</v>
      </c>
      <c r="G384" s="180"/>
    </row>
    <row r="385" spans="1:7" ht="11.25" customHeight="1">
      <c r="A385" s="141"/>
      <c r="B385" s="591"/>
      <c r="C385" s="353"/>
      <c r="D385" s="353"/>
      <c r="E385" s="353"/>
      <c r="F385" s="353"/>
      <c r="G385" s="180"/>
    </row>
    <row r="386" spans="1:7" ht="18.75" customHeight="1">
      <c r="A386" s="141"/>
      <c r="B386" s="592"/>
      <c r="C386" s="353"/>
      <c r="D386" s="353"/>
      <c r="E386" s="353"/>
      <c r="F386" s="353"/>
      <c r="G386" s="180"/>
    </row>
    <row r="387" spans="1:7" ht="22.5" customHeight="1">
      <c r="A387" s="174"/>
      <c r="B387" s="535" t="str">
        <f>CONCATENATE(TEXT(SUMÁRIO!D7-8,"DD")," de ",TEXT(SUMÁRIO!D7-8,"MMMM")," - Conteúdo de AQUECIMENTO")</f>
        <v>16 de fevereiro - Conteúdo de AQUECIMENTO</v>
      </c>
      <c r="C387" s="536"/>
      <c r="D387" s="536"/>
      <c r="E387" s="536"/>
      <c r="F387" s="537"/>
      <c r="G387" s="175"/>
    </row>
    <row r="388" spans="1:7" ht="18.75" customHeight="1">
      <c r="A388" s="27"/>
      <c r="B388" s="187" t="b">
        <v>0</v>
      </c>
      <c r="C388" s="598" t="s">
        <v>369</v>
      </c>
      <c r="D388" s="599"/>
      <c r="E388" s="599"/>
      <c r="F388" s="600"/>
      <c r="G388" s="30"/>
    </row>
    <row r="389" spans="1:7" ht="18.75" customHeight="1">
      <c r="A389" s="27"/>
      <c r="B389" s="187" t="b">
        <v>0</v>
      </c>
      <c r="C389" s="598" t="s">
        <v>408</v>
      </c>
      <c r="D389" s="599"/>
      <c r="E389" s="599"/>
      <c r="F389" s="600"/>
      <c r="G389" s="215"/>
    </row>
    <row r="390" spans="1:7" ht="18.75" customHeight="1">
      <c r="A390" s="27"/>
      <c r="B390" s="187" t="b">
        <v>0</v>
      </c>
      <c r="C390" s="598" t="s">
        <v>362</v>
      </c>
      <c r="D390" s="599"/>
      <c r="E390" s="599"/>
      <c r="F390" s="600"/>
      <c r="G390" s="215"/>
    </row>
    <row r="391" spans="1:7" ht="18.75" customHeight="1">
      <c r="A391" s="27"/>
      <c r="B391" s="187" t="b">
        <v>0</v>
      </c>
      <c r="C391" s="611" t="s">
        <v>409</v>
      </c>
      <c r="D391" s="599"/>
      <c r="E391" s="599"/>
      <c r="F391" s="600"/>
      <c r="G391" s="215"/>
    </row>
    <row r="392" spans="1:7" ht="18.75" customHeight="1">
      <c r="A392" s="27"/>
      <c r="B392" s="187" t="b">
        <v>0</v>
      </c>
      <c r="C392" s="611" t="s">
        <v>410</v>
      </c>
      <c r="D392" s="599"/>
      <c r="E392" s="599"/>
      <c r="F392" s="600"/>
      <c r="G392" s="215"/>
    </row>
    <row r="393" spans="1:7" ht="11.25" customHeight="1">
      <c r="A393" s="27"/>
      <c r="B393" s="694"/>
      <c r="C393" s="364"/>
      <c r="D393" s="364"/>
      <c r="E393" s="364"/>
      <c r="F393" s="365"/>
      <c r="G393" s="215"/>
    </row>
    <row r="394" spans="1:7" ht="26.25" customHeight="1">
      <c r="A394" s="447"/>
      <c r="B394" s="339"/>
      <c r="C394" s="339"/>
      <c r="D394" s="340"/>
      <c r="E394" s="234"/>
      <c r="F394" s="235"/>
      <c r="G394" s="215"/>
    </row>
  </sheetData>
  <mergeCells count="389">
    <mergeCell ref="B355:F355"/>
    <mergeCell ref="B356:F356"/>
    <mergeCell ref="B357:F357"/>
    <mergeCell ref="B346:F346"/>
    <mergeCell ref="B347:F347"/>
    <mergeCell ref="C348:F348"/>
    <mergeCell ref="B349:F349"/>
    <mergeCell ref="B350:C350"/>
    <mergeCell ref="E350:F350"/>
    <mergeCell ref="D351:D354"/>
    <mergeCell ref="B352:B353"/>
    <mergeCell ref="C352:C353"/>
    <mergeCell ref="B337:F337"/>
    <mergeCell ref="B338:F338"/>
    <mergeCell ref="B339:F339"/>
    <mergeCell ref="C340:F340"/>
    <mergeCell ref="C341:F341"/>
    <mergeCell ref="C342:F342"/>
    <mergeCell ref="C343:F343"/>
    <mergeCell ref="C344:F344"/>
    <mergeCell ref="B345:F345"/>
    <mergeCell ref="C324:E324"/>
    <mergeCell ref="C325:E325"/>
    <mergeCell ref="C326:E326"/>
    <mergeCell ref="C327:F327"/>
    <mergeCell ref="B328:F328"/>
    <mergeCell ref="B335:B336"/>
    <mergeCell ref="C335:C336"/>
    <mergeCell ref="B329:F329"/>
    <mergeCell ref="B330:F330"/>
    <mergeCell ref="C331:F331"/>
    <mergeCell ref="B332:F332"/>
    <mergeCell ref="B333:C333"/>
    <mergeCell ref="E333:F333"/>
    <mergeCell ref="D334:D336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23:E323"/>
    <mergeCell ref="C392:F392"/>
    <mergeCell ref="B393:F393"/>
    <mergeCell ref="A394:D394"/>
    <mergeCell ref="B385:F385"/>
    <mergeCell ref="B386:F386"/>
    <mergeCell ref="B387:F387"/>
    <mergeCell ref="C388:F388"/>
    <mergeCell ref="C389:F389"/>
    <mergeCell ref="C390:F390"/>
    <mergeCell ref="C391:F391"/>
    <mergeCell ref="B377:F377"/>
    <mergeCell ref="B378:F378"/>
    <mergeCell ref="C379:F379"/>
    <mergeCell ref="B380:F380"/>
    <mergeCell ref="B381:C381"/>
    <mergeCell ref="E381:F381"/>
    <mergeCell ref="D382:D384"/>
    <mergeCell ref="B383:B384"/>
    <mergeCell ref="C383:C384"/>
    <mergeCell ref="D367:D369"/>
    <mergeCell ref="B368:B369"/>
    <mergeCell ref="C368:C369"/>
    <mergeCell ref="B370:F370"/>
    <mergeCell ref="B371:F371"/>
    <mergeCell ref="B372:F372"/>
    <mergeCell ref="C373:F373"/>
    <mergeCell ref="C374:F374"/>
    <mergeCell ref="C375:F375"/>
    <mergeCell ref="C358:F358"/>
    <mergeCell ref="C359:F359"/>
    <mergeCell ref="C360:F360"/>
    <mergeCell ref="B361:F361"/>
    <mergeCell ref="B362:F362"/>
    <mergeCell ref="B363:F363"/>
    <mergeCell ref="C364:F364"/>
    <mergeCell ref="B365:F365"/>
    <mergeCell ref="B366:C366"/>
    <mergeCell ref="E366:F366"/>
    <mergeCell ref="B193:F193"/>
    <mergeCell ref="B194:F194"/>
    <mergeCell ref="C195:F195"/>
    <mergeCell ref="C196:F196"/>
    <mergeCell ref="C197:F197"/>
    <mergeCell ref="B198:F198"/>
    <mergeCell ref="B199:F199"/>
    <mergeCell ref="B200:F200"/>
    <mergeCell ref="B244:F244"/>
    <mergeCell ref="B184:F184"/>
    <mergeCell ref="C185:F185"/>
    <mergeCell ref="B186:F186"/>
    <mergeCell ref="B187:C187"/>
    <mergeCell ref="E187:F187"/>
    <mergeCell ref="D188:D190"/>
    <mergeCell ref="B189:B190"/>
    <mergeCell ref="C189:C190"/>
    <mergeCell ref="B192:F192"/>
    <mergeCell ref="C174:F174"/>
    <mergeCell ref="C175:F175"/>
    <mergeCell ref="B176:F176"/>
    <mergeCell ref="B177:B179"/>
    <mergeCell ref="C177:C179"/>
    <mergeCell ref="C180:F180"/>
    <mergeCell ref="C181:F181"/>
    <mergeCell ref="B182:F182"/>
    <mergeCell ref="B183:F183"/>
    <mergeCell ref="B165:F165"/>
    <mergeCell ref="B166:F166"/>
    <mergeCell ref="B167:F167"/>
    <mergeCell ref="C168:F168"/>
    <mergeCell ref="C169:F169"/>
    <mergeCell ref="C170:F170"/>
    <mergeCell ref="B171:F171"/>
    <mergeCell ref="B172:F172"/>
    <mergeCell ref="B173:F173"/>
    <mergeCell ref="B154:F154"/>
    <mergeCell ref="C155:F155"/>
    <mergeCell ref="B156:F156"/>
    <mergeCell ref="B163:B164"/>
    <mergeCell ref="C163:C164"/>
    <mergeCell ref="B157:F157"/>
    <mergeCell ref="B158:F158"/>
    <mergeCell ref="C159:F159"/>
    <mergeCell ref="B160:F160"/>
    <mergeCell ref="B161:C161"/>
    <mergeCell ref="E161:F161"/>
    <mergeCell ref="D162:D164"/>
    <mergeCell ref="C145:F145"/>
    <mergeCell ref="C146:F146"/>
    <mergeCell ref="C147:F147"/>
    <mergeCell ref="C148:F148"/>
    <mergeCell ref="B149:F149"/>
    <mergeCell ref="B150:F150"/>
    <mergeCell ref="B151:F151"/>
    <mergeCell ref="C152:F152"/>
    <mergeCell ref="C153:F153"/>
    <mergeCell ref="C135:F135"/>
    <mergeCell ref="B136:F136"/>
    <mergeCell ref="B137:C137"/>
    <mergeCell ref="E137:F137"/>
    <mergeCell ref="D138:D141"/>
    <mergeCell ref="B141:C141"/>
    <mergeCell ref="B142:F142"/>
    <mergeCell ref="B143:F143"/>
    <mergeCell ref="B144:F144"/>
    <mergeCell ref="C126:F126"/>
    <mergeCell ref="C127:F127"/>
    <mergeCell ref="B128:F128"/>
    <mergeCell ref="B129:B130"/>
    <mergeCell ref="C129:C130"/>
    <mergeCell ref="C131:F131"/>
    <mergeCell ref="B132:F132"/>
    <mergeCell ref="B133:F133"/>
    <mergeCell ref="B134:F134"/>
    <mergeCell ref="B116:F116"/>
    <mergeCell ref="B117:F117"/>
    <mergeCell ref="B118:F118"/>
    <mergeCell ref="C119:F119"/>
    <mergeCell ref="C120:F120"/>
    <mergeCell ref="C121:F121"/>
    <mergeCell ref="C122:F122"/>
    <mergeCell ref="B124:F124"/>
    <mergeCell ref="B125:F125"/>
    <mergeCell ref="C105:F105"/>
    <mergeCell ref="B106:F106"/>
    <mergeCell ref="B107:F107"/>
    <mergeCell ref="B108:F108"/>
    <mergeCell ref="C109:F109"/>
    <mergeCell ref="B110:F110"/>
    <mergeCell ref="B111:C111"/>
    <mergeCell ref="E111:F111"/>
    <mergeCell ref="D112:D115"/>
    <mergeCell ref="C95:F95"/>
    <mergeCell ref="B97:F97"/>
    <mergeCell ref="B98:F98"/>
    <mergeCell ref="C99:F99"/>
    <mergeCell ref="B100:F100"/>
    <mergeCell ref="C101:F101"/>
    <mergeCell ref="C102:F102"/>
    <mergeCell ref="C103:F103"/>
    <mergeCell ref="C104:F104"/>
    <mergeCell ref="D86:D88"/>
    <mergeCell ref="B87:B88"/>
    <mergeCell ref="C87:C88"/>
    <mergeCell ref="B89:F89"/>
    <mergeCell ref="B90:F90"/>
    <mergeCell ref="B91:F91"/>
    <mergeCell ref="C92:F92"/>
    <mergeCell ref="C93:F93"/>
    <mergeCell ref="C94:F94"/>
    <mergeCell ref="C78:F78"/>
    <mergeCell ref="B79:F79"/>
    <mergeCell ref="B80:F80"/>
    <mergeCell ref="B81:F81"/>
    <mergeCell ref="B82:F82"/>
    <mergeCell ref="C83:F83"/>
    <mergeCell ref="B84:F84"/>
    <mergeCell ref="B85:C85"/>
    <mergeCell ref="E85:F85"/>
    <mergeCell ref="B69:F69"/>
    <mergeCell ref="B70:F70"/>
    <mergeCell ref="B71:F71"/>
    <mergeCell ref="C72:F72"/>
    <mergeCell ref="C73:F73"/>
    <mergeCell ref="C74:F74"/>
    <mergeCell ref="B75:F75"/>
    <mergeCell ref="C76:F76"/>
    <mergeCell ref="C77:F77"/>
    <mergeCell ref="C60:F60"/>
    <mergeCell ref="C61:F61"/>
    <mergeCell ref="B62:F62"/>
    <mergeCell ref="B63:F63"/>
    <mergeCell ref="B64:F64"/>
    <mergeCell ref="C65:F65"/>
    <mergeCell ref="C66:F66"/>
    <mergeCell ref="C67:F67"/>
    <mergeCell ref="C68:F68"/>
    <mergeCell ref="C51:F51"/>
    <mergeCell ref="B52:F52"/>
    <mergeCell ref="B53:F53"/>
    <mergeCell ref="B54:F54"/>
    <mergeCell ref="B55:F55"/>
    <mergeCell ref="C56:F56"/>
    <mergeCell ref="B57:F57"/>
    <mergeCell ref="C58:F58"/>
    <mergeCell ref="C59:F59"/>
    <mergeCell ref="B24:F24"/>
    <mergeCell ref="B25:F25"/>
    <mergeCell ref="C26:D26"/>
    <mergeCell ref="E26:E27"/>
    <mergeCell ref="C27:D27"/>
    <mergeCell ref="B28:F28"/>
    <mergeCell ref="E39:E40"/>
    <mergeCell ref="F39:F40"/>
    <mergeCell ref="C48:F48"/>
    <mergeCell ref="B11:F11"/>
    <mergeCell ref="B12:F12"/>
    <mergeCell ref="B13:F13"/>
    <mergeCell ref="C14:F14"/>
    <mergeCell ref="B15:F15"/>
    <mergeCell ref="C21:D21"/>
    <mergeCell ref="C22:D22"/>
    <mergeCell ref="C16:D16"/>
    <mergeCell ref="E16:E17"/>
    <mergeCell ref="C17:D17"/>
    <mergeCell ref="B18:F18"/>
    <mergeCell ref="B19:F19"/>
    <mergeCell ref="C20:D20"/>
    <mergeCell ref="E20:E23"/>
    <mergeCell ref="C23:D23"/>
    <mergeCell ref="A1:G1"/>
    <mergeCell ref="A2:G2"/>
    <mergeCell ref="B3:B5"/>
    <mergeCell ref="C3:F3"/>
    <mergeCell ref="C4:F4"/>
    <mergeCell ref="D6:F6"/>
    <mergeCell ref="C8:F8"/>
    <mergeCell ref="B9:F9"/>
    <mergeCell ref="B10:F10"/>
    <mergeCell ref="C307:E307"/>
    <mergeCell ref="C308:E308"/>
    <mergeCell ref="C309:E309"/>
    <mergeCell ref="B310:F310"/>
    <mergeCell ref="B311:F311"/>
    <mergeCell ref="B312:E312"/>
    <mergeCell ref="C313:E313"/>
    <mergeCell ref="C314:E314"/>
    <mergeCell ref="B29:F29"/>
    <mergeCell ref="C30:F30"/>
    <mergeCell ref="B31:C37"/>
    <mergeCell ref="D31:D36"/>
    <mergeCell ref="B38:F38"/>
    <mergeCell ref="B39:C40"/>
    <mergeCell ref="D39:D40"/>
    <mergeCell ref="B41:F41"/>
    <mergeCell ref="B42:F42"/>
    <mergeCell ref="B43:F43"/>
    <mergeCell ref="B44:F44"/>
    <mergeCell ref="B45:F45"/>
    <mergeCell ref="B46:F46"/>
    <mergeCell ref="C47:F47"/>
    <mergeCell ref="C49:F49"/>
    <mergeCell ref="C50:F50"/>
    <mergeCell ref="C298:F298"/>
    <mergeCell ref="B299:F299"/>
    <mergeCell ref="B300:F300"/>
    <mergeCell ref="B301:E301"/>
    <mergeCell ref="C302:E302"/>
    <mergeCell ref="C303:E303"/>
    <mergeCell ref="C304:E304"/>
    <mergeCell ref="C305:E305"/>
    <mergeCell ref="C306:E306"/>
    <mergeCell ref="B289:F289"/>
    <mergeCell ref="B290:F290"/>
    <mergeCell ref="C291:F291"/>
    <mergeCell ref="C292:F292"/>
    <mergeCell ref="C293:F293"/>
    <mergeCell ref="C294:F294"/>
    <mergeCell ref="B295:F295"/>
    <mergeCell ref="B296:F296"/>
    <mergeCell ref="B297:F297"/>
    <mergeCell ref="B279:F279"/>
    <mergeCell ref="B280:F280"/>
    <mergeCell ref="C281:F281"/>
    <mergeCell ref="B282:F282"/>
    <mergeCell ref="B283:C283"/>
    <mergeCell ref="E283:F283"/>
    <mergeCell ref="D284:D287"/>
    <mergeCell ref="B287:C287"/>
    <mergeCell ref="B288:F288"/>
    <mergeCell ref="B270:F270"/>
    <mergeCell ref="B271:F271"/>
    <mergeCell ref="B272:F272"/>
    <mergeCell ref="C273:F273"/>
    <mergeCell ref="B274:F274"/>
    <mergeCell ref="B275:F275"/>
    <mergeCell ref="C276:F276"/>
    <mergeCell ref="C277:F277"/>
    <mergeCell ref="B278:F278"/>
    <mergeCell ref="B261:F261"/>
    <mergeCell ref="B262:F262"/>
    <mergeCell ref="B263:F263"/>
    <mergeCell ref="C264:F264"/>
    <mergeCell ref="C265:F265"/>
    <mergeCell ref="C266:F266"/>
    <mergeCell ref="C267:F267"/>
    <mergeCell ref="B268:F268"/>
    <mergeCell ref="B269:F269"/>
    <mergeCell ref="B238:F238"/>
    <mergeCell ref="C239:F239"/>
    <mergeCell ref="C240:F240"/>
    <mergeCell ref="C241:F241"/>
    <mergeCell ref="C242:F242"/>
    <mergeCell ref="C243:F243"/>
    <mergeCell ref="D257:D259"/>
    <mergeCell ref="B258:B259"/>
    <mergeCell ref="C258:C259"/>
    <mergeCell ref="B245:F245"/>
    <mergeCell ref="B246:F246"/>
    <mergeCell ref="B247:F247"/>
    <mergeCell ref="C248:F248"/>
    <mergeCell ref="C249:F249"/>
    <mergeCell ref="C250:F250"/>
    <mergeCell ref="B251:F251"/>
    <mergeCell ref="A252:F252"/>
    <mergeCell ref="B253:F253"/>
    <mergeCell ref="C254:F254"/>
    <mergeCell ref="B255:F255"/>
    <mergeCell ref="B256:C256"/>
    <mergeCell ref="E256:F256"/>
    <mergeCell ref="C230:F230"/>
    <mergeCell ref="B231:F231"/>
    <mergeCell ref="B232:C232"/>
    <mergeCell ref="E232:F232"/>
    <mergeCell ref="D233:D235"/>
    <mergeCell ref="B234:B235"/>
    <mergeCell ref="C234:C235"/>
    <mergeCell ref="B236:F236"/>
    <mergeCell ref="B237:F237"/>
    <mergeCell ref="C218:F218"/>
    <mergeCell ref="C219:F219"/>
    <mergeCell ref="B220:F220"/>
    <mergeCell ref="B221:C221"/>
    <mergeCell ref="E221:F221"/>
    <mergeCell ref="D222:D226"/>
    <mergeCell ref="C227:F227"/>
    <mergeCell ref="B228:F228"/>
    <mergeCell ref="B229:F229"/>
    <mergeCell ref="B209:F209"/>
    <mergeCell ref="C210:F210"/>
    <mergeCell ref="C211:F211"/>
    <mergeCell ref="C212:F212"/>
    <mergeCell ref="C213:F213"/>
    <mergeCell ref="B214:F214"/>
    <mergeCell ref="B215:F215"/>
    <mergeCell ref="B216:F216"/>
    <mergeCell ref="C217:F217"/>
    <mergeCell ref="C201:F201"/>
    <mergeCell ref="B202:F202"/>
    <mergeCell ref="B203:C203"/>
    <mergeCell ref="E203:F203"/>
    <mergeCell ref="D204:D206"/>
    <mergeCell ref="B205:B206"/>
    <mergeCell ref="C205:C206"/>
    <mergeCell ref="B207:F207"/>
    <mergeCell ref="B208:F208"/>
  </mergeCells>
  <hyperlinks>
    <hyperlink ref="F16" r:id="rId1" xr:uid="{00000000-0004-0000-0300-000000000000}"/>
    <hyperlink ref="F17" r:id="rId2" xr:uid="{00000000-0004-0000-0300-000001000000}"/>
    <hyperlink ref="F20" r:id="rId3" xr:uid="{00000000-0004-0000-0300-000002000000}"/>
    <hyperlink ref="F21" r:id="rId4" xr:uid="{00000000-0004-0000-0300-000003000000}"/>
    <hyperlink ref="F22" r:id="rId5" xr:uid="{00000000-0004-0000-0300-000004000000}"/>
    <hyperlink ref="F23" r:id="rId6" xr:uid="{00000000-0004-0000-0300-000005000000}"/>
    <hyperlink ref="F26" r:id="rId7" xr:uid="{00000000-0004-0000-0300-000006000000}"/>
    <hyperlink ref="F27" r:id="rId8" xr:uid="{00000000-0004-0000-0300-000007000000}"/>
    <hyperlink ref="C56" location="'CLI e AI'!C21:D21" display="Material complementar - Remarketing de Aquecimento" xr:uid="{00000000-0004-0000-0300-000008000000}"/>
    <hyperlink ref="C73" location="'CLI e AI'!F31" display="Utilize o documento 1, para planejar seus criativos de remarketing" xr:uid="{00000000-0004-0000-0300-000009000000}"/>
    <hyperlink ref="C74" location="'CLI e AI'!C20:D20" display="Material complementar - Criativos de Remarketing" xr:uid="{00000000-0004-0000-0300-00000A000000}"/>
    <hyperlink ref="C83" location="'CLI e AI'!F32" display="Utilize o documento 2, para planilhar as métricas da campanha." xr:uid="{00000000-0004-0000-0300-00000B000000}"/>
    <hyperlink ref="C86" location="'CLI e AI'!C16:D16" display="Material Complementar - Otimização " xr:uid="{00000000-0004-0000-0300-00000C000000}"/>
    <hyperlink ref="F86" location="'CLI e AI'!C17:D17" display="Material Complementar - Otimização " xr:uid="{00000000-0004-0000-0300-00000D000000}"/>
    <hyperlink ref="C99" location="'CLI e AI'!C21:D21" display="Material complementar - Remarketing de Antecipação" xr:uid="{00000000-0004-0000-0300-00000E000000}"/>
    <hyperlink ref="C102" location="'CLI e AI'!F39:F40" display="Utilize o documento 8 para estruturar o criativo da campanha de Antecipação" xr:uid="{00000000-0004-0000-0300-00000F000000}"/>
    <hyperlink ref="C109" location="'CLI e AI'!F32" display="Utilize o documento 2, para planilhar as métricas da campanha." xr:uid="{00000000-0004-0000-0300-000010000000}"/>
    <hyperlink ref="C112" location="'CLI e AI'!C16:D16" display="Material Complementar - Otimização " xr:uid="{00000000-0004-0000-0300-000011000000}"/>
    <hyperlink ref="F112" location="'CLI e AI'!C17:D17" display="Material Complementar - Otimização " xr:uid="{00000000-0004-0000-0300-000012000000}"/>
    <hyperlink ref="C126" location="'CLI e AI'!F33" display="Utilize o documento 3, para fazer o script do CPL 1" xr:uid="{00000000-0004-0000-0300-000013000000}"/>
    <hyperlink ref="C127" location="'CLI e AI'!C26:D26" display="Material Complementar - Script CPL 1" xr:uid="{00000000-0004-0000-0300-000014000000}"/>
    <hyperlink ref="C135" location="'CLI e AI'!F32" display="Utilize o documento 2, para planilhar as métricas da campanha." xr:uid="{00000000-0004-0000-0300-000015000000}"/>
    <hyperlink ref="C138" location="'CLI e AI'!C16:D16" display="Material Complementar - Otimização " xr:uid="{00000000-0004-0000-0300-000016000000}"/>
    <hyperlink ref="F138" location="'CLI e AI'!C17:D17" display="Material Complementar - Otimização " xr:uid="{00000000-0004-0000-0300-000017000000}"/>
    <hyperlink ref="C152" location="'CLI e AI'!F34" display="Utilize o documento 4, para criar o script do CPL 2" xr:uid="{00000000-0004-0000-0300-000018000000}"/>
    <hyperlink ref="C153" location="'CLI e AI'!C27:D27" display="Material Complementar - Script CPL 2" xr:uid="{00000000-0004-0000-0300-000019000000}"/>
    <hyperlink ref="C159" location="'CLI e AI'!F32" display="Utilize o documento 2, para planilhar as métricas da campanha." xr:uid="{00000000-0004-0000-0300-00001A000000}"/>
    <hyperlink ref="C162" location="'CLI e AI'!C16:D16" display="Material Complementar - Otimização " xr:uid="{00000000-0004-0000-0300-00001B000000}"/>
    <hyperlink ref="F162" location="'CLI e AI'!C17:D17" display="Material Complementar - Otimização " xr:uid="{00000000-0004-0000-0300-00001C000000}"/>
    <hyperlink ref="C174" location="'CLI e AI'!F35" display="Utilize o documento 5, para criar o script do CPL 3 e Vídeo de Vendas" xr:uid="{00000000-0004-0000-0300-00001D000000}"/>
    <hyperlink ref="C175" location="'CLI e AI'!C27:D27" display="Material Complementar - Script CPL 3 e Vídeo de Vendas" xr:uid="{00000000-0004-0000-0300-00001E000000}"/>
    <hyperlink ref="C185" location="'CLI e AI'!F32" display="Utilize o documento 2, para planilhar as métricas da campanha." xr:uid="{00000000-0004-0000-0300-00001F000000}"/>
    <hyperlink ref="C188" location="'CLI e AI'!C16:D16" display="Material Complementar - Otimização " xr:uid="{00000000-0004-0000-0300-000020000000}"/>
    <hyperlink ref="F188" location="'CLI e AI'!C17:D17" display="Material Complementar - Otimização " xr:uid="{00000000-0004-0000-0300-000021000000}"/>
    <hyperlink ref="C201" location="'CLI e AI'!F32" display="Utilize o documento 2, para planilhar as métricas da campanha." xr:uid="{00000000-0004-0000-0300-000022000000}"/>
    <hyperlink ref="C204" location="'CLI e AI'!C16:D16" display="Material Complementar - Otimização " xr:uid="{00000000-0004-0000-0300-000023000000}"/>
    <hyperlink ref="F204" location="'CLI e AI'!C17:D17" display="Material Complementar - Otimização " xr:uid="{00000000-0004-0000-0300-000024000000}"/>
    <hyperlink ref="C217" location="'CLI e AI'!C22:D22" display="Material Complementar - Planejamento de Investimento para RMKT " xr:uid="{00000000-0004-0000-0300-000025000000}"/>
    <hyperlink ref="C218" location="'CLI e AI'!C23:D23" display="Material Complementar - Campanha de Remarketing de CPL" xr:uid="{00000000-0004-0000-0300-000026000000}"/>
    <hyperlink ref="C219" location="'CLI e AI'!F36" display="Utilize o documento 6, para fazer o orçamento e planilhamento das métricas da campanha" xr:uid="{00000000-0004-0000-0300-000027000000}"/>
    <hyperlink ref="C230" location="'CLI e AI'!F32" display="Utilize o documento 2, para planilhar as métricas da campanha" xr:uid="{00000000-0004-0000-0300-000028000000}"/>
    <hyperlink ref="C233" location="'CLI e AI'!C16:D16" display="Material Complementar - Otimização " xr:uid="{00000000-0004-0000-0300-000029000000}"/>
    <hyperlink ref="F233" location="'CLI e AI'!C17:D17" display="Material Complementar - Otimização " xr:uid="{00000000-0004-0000-0300-00002A000000}"/>
    <hyperlink ref="C250" r:id="rId9" xr:uid="{00000000-0004-0000-0300-00002B000000}"/>
    <hyperlink ref="C254" location="'CLI e AI'!F32" display="Utilize o documento 2, para planilhar as métricas da campanha." xr:uid="{00000000-0004-0000-0300-00002C000000}"/>
    <hyperlink ref="C257" location="'CLI e AI'!C16:D16" display="Material Complementar - Otimização " xr:uid="{00000000-0004-0000-0300-00002D000000}"/>
    <hyperlink ref="F257" location="'CLI e AI'!C17:D17" display="Material Complementar - Otimização " xr:uid="{00000000-0004-0000-0300-00002E000000}"/>
    <hyperlink ref="C273" location="'CLI e AI'!B37:C38" display="Use o documento listado em Materiais de Apoio descrito no início dessa seção. " xr:uid="{00000000-0004-0000-0300-00002F000000}"/>
    <hyperlink ref="C281" location="'CLI e AI'!F32" display="Utilize o documento 2, para planilhar as métricas da campanha." xr:uid="{00000000-0004-0000-0300-000030000000}"/>
    <hyperlink ref="C284" location="'CLI e AI'!C16:D16" display="Material Complementar - Otimização " xr:uid="{00000000-0004-0000-0300-000031000000}"/>
    <hyperlink ref="F284" location="'CLI e AI'!C17:D17" display="Material Complementar - Otimização " xr:uid="{00000000-0004-0000-0300-000032000000}"/>
    <hyperlink ref="C298" location="'CLI e AI'!F35" display="Utilize o documento 6, para se inspirar nas copies das notificações " xr:uid="{00000000-0004-0000-0300-000033000000}"/>
    <hyperlink ref="C331" location="'CLI e AI'!F32" display="Utilize o documento 2, para planilhar as métricas da campanha." xr:uid="{00000000-0004-0000-0300-000034000000}"/>
    <hyperlink ref="C334" location="'CLI e AI'!C16:D16" display="Material Complementar - Otimização " xr:uid="{00000000-0004-0000-0300-000035000000}"/>
    <hyperlink ref="F334" location="'CLI e AI'!C17:D17" display="Material Complementar - Otimização " xr:uid="{00000000-0004-0000-0300-000036000000}"/>
    <hyperlink ref="C348" location="'CLI e AI'!F32" display="Utilize o documento 2, para planilhar as métricas da campanha." xr:uid="{00000000-0004-0000-0300-000037000000}"/>
    <hyperlink ref="C351" location="'CLI e AI'!C16:D16" display="Material Complementar - Otimização " xr:uid="{00000000-0004-0000-0300-000038000000}"/>
    <hyperlink ref="F351" location="'CLI e AI'!C17:D17" display="Material Complementar - Otimização " xr:uid="{00000000-0004-0000-0300-000039000000}"/>
    <hyperlink ref="C364" location="'CLI e AI'!F32" display="Utilize o documento 2, para planilhar as métricas da campanha." xr:uid="{00000000-0004-0000-0300-00003A000000}"/>
    <hyperlink ref="C367" location="'CLI e AI'!C16:D16" display="Material Complementar - Otimização " xr:uid="{00000000-0004-0000-0300-00003B000000}"/>
    <hyperlink ref="F367" location="'CLI e AI'!C17:D17" display="Material Complementar - Otimização " xr:uid="{00000000-0004-0000-0300-00003C000000}"/>
    <hyperlink ref="C379" location="'CLI e AI'!F32" display="Utilize o documento 2, para planilhar as métricas da campanha." xr:uid="{00000000-0004-0000-0300-00003D000000}"/>
    <hyperlink ref="C382" location="'CLI e AI'!C16:D16" display="Material Complementar - Otimização " xr:uid="{00000000-0004-0000-0300-00003E000000}"/>
    <hyperlink ref="F382" location="'CLI e AI'!C17:D17" display="Material Complementar - Otimização " xr:uid="{00000000-0004-0000-0300-00003F000000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43"/>
  <sheetViews>
    <sheetView workbookViewId="0">
      <pane ySplit="7" topLeftCell="A8" activePane="bottomLeft" state="frozen"/>
      <selection pane="bottomLeft" activeCell="B9" sqref="B9"/>
    </sheetView>
  </sheetViews>
  <sheetFormatPr defaultColWidth="12.59765625" defaultRowHeight="15.75" customHeight="1"/>
  <cols>
    <col min="1" max="1" width="4.3984375" customWidth="1"/>
    <col min="2" max="2" width="3.86328125" customWidth="1"/>
    <col min="3" max="3" width="130.265625" customWidth="1"/>
    <col min="4" max="5" width="4.3984375" customWidth="1"/>
  </cols>
  <sheetData>
    <row r="1" spans="1:5" ht="17.649999999999999">
      <c r="A1" s="695" t="str">
        <f>CONCATENATE("CLI e AI I - ",TEXT(SUMÁRIO!D7-17,"DD/MM")," a ",TEXT(SUMÁRIO!D7-13,"DD/MM"))</f>
        <v>CLI e AI I - 07/02 a 11/02</v>
      </c>
      <c r="B1" s="696"/>
      <c r="C1" s="696"/>
      <c r="D1" s="697"/>
      <c r="E1" s="236"/>
    </row>
    <row r="2" spans="1:5" ht="17.649999999999999">
      <c r="A2" s="698"/>
      <c r="B2" s="699"/>
      <c r="C2" s="699"/>
      <c r="D2" s="700"/>
      <c r="E2" s="236"/>
    </row>
    <row r="3" spans="1:5" ht="16.5" customHeight="1">
      <c r="A3" s="701" t="s">
        <v>411</v>
      </c>
      <c r="B3" s="702"/>
      <c r="C3" s="702"/>
      <c r="D3" s="703"/>
      <c r="E3" s="237"/>
    </row>
    <row r="4" spans="1:5" ht="6" customHeight="1">
      <c r="A4" s="238"/>
      <c r="B4" s="704">
        <f>(COUNTIF(B9:B143,TRUE)+COUNTIF(E:E,TRUE))/52</f>
        <v>0</v>
      </c>
      <c r="C4" s="239"/>
      <c r="D4" s="240"/>
      <c r="E4" s="240"/>
    </row>
    <row r="5" spans="1:5" ht="6" customHeight="1">
      <c r="A5" s="238"/>
      <c r="B5" s="705"/>
      <c r="C5" s="241" t="str">
        <f ca="1">IFERROR(__xludf.DUMMYFUNCTION("SPARKLINE(B4,{""charttype"",""bar"";""color1"",""#38a036"";""max"",1})"),"")</f>
        <v/>
      </c>
      <c r="D5" s="242"/>
      <c r="E5" s="242"/>
    </row>
    <row r="6" spans="1:5" ht="6" customHeight="1">
      <c r="A6" s="238"/>
      <c r="B6" s="706"/>
      <c r="C6" s="241"/>
      <c r="D6" s="242"/>
      <c r="E6" s="242"/>
    </row>
    <row r="7" spans="1:5" ht="6" customHeight="1">
      <c r="A7" s="238"/>
      <c r="B7" s="243"/>
      <c r="C7" s="239"/>
      <c r="D7" s="240"/>
      <c r="E7" s="240"/>
    </row>
    <row r="8" spans="1:5" ht="22.5" customHeight="1">
      <c r="A8" s="244"/>
      <c r="B8" s="245"/>
      <c r="C8" s="245"/>
      <c r="D8" s="246"/>
      <c r="E8" s="246"/>
    </row>
    <row r="9" spans="1:5" ht="18.75" customHeight="1">
      <c r="A9" s="247"/>
      <c r="B9" s="707" t="s">
        <v>412</v>
      </c>
      <c r="C9" s="394"/>
      <c r="D9" s="394"/>
      <c r="E9" s="247"/>
    </row>
    <row r="10" spans="1:5" ht="18.75" customHeight="1">
      <c r="A10" s="247"/>
      <c r="B10" s="708" t="str">
        <f>CONCATENATE("📌 ",TEXT(SUMÁRIO!D7-21,"DD/MM")," - Call Semana 03")</f>
        <v>📌 03/02 - Call Semana 03</v>
      </c>
      <c r="C10" s="394"/>
      <c r="D10" s="394"/>
      <c r="E10" s="247"/>
    </row>
    <row r="11" spans="1:5" ht="15" customHeight="1">
      <c r="A11" s="248"/>
      <c r="B11" s="657"/>
      <c r="C11" s="353"/>
      <c r="D11" s="353"/>
      <c r="E11" s="249"/>
    </row>
    <row r="12" spans="1:5" ht="15" customHeight="1">
      <c r="A12" s="248"/>
      <c r="B12" s="709"/>
      <c r="C12" s="353"/>
      <c r="D12" s="353"/>
      <c r="E12" s="249"/>
    </row>
    <row r="13" spans="1:5" ht="22.5" customHeight="1">
      <c r="A13" s="250"/>
      <c r="B13" s="710" t="str">
        <f>CONCATENATE(TEXT(SUMÁRIO!D7-17,"DD")," de ",TEXT(SUMÁRIO!D7-23,"MMMM")," - Whatsapp e Pesquisa de Avatar")</f>
        <v>07 de fevereiro - Whatsapp e Pesquisa de Avatar</v>
      </c>
      <c r="C13" s="702"/>
      <c r="D13" s="703"/>
      <c r="E13" s="251"/>
    </row>
    <row r="14" spans="1:5" ht="18.75" customHeight="1">
      <c r="A14" s="250"/>
      <c r="B14" s="711" t="s">
        <v>413</v>
      </c>
      <c r="C14" s="394"/>
      <c r="D14" s="394"/>
      <c r="E14" s="252"/>
    </row>
    <row r="15" spans="1:5" ht="18.75" customHeight="1">
      <c r="A15" s="250"/>
      <c r="B15" s="712" t="s">
        <v>414</v>
      </c>
      <c r="C15" s="394"/>
      <c r="D15" s="394"/>
      <c r="E15" s="253"/>
    </row>
    <row r="16" spans="1:5" ht="18.75" customHeight="1">
      <c r="A16" s="250"/>
      <c r="B16" s="713"/>
      <c r="C16" s="394"/>
      <c r="D16" s="394"/>
      <c r="E16" s="255"/>
    </row>
    <row r="17" spans="1:5" ht="18.75" customHeight="1">
      <c r="A17" s="250"/>
      <c r="B17" s="256" t="b">
        <v>0</v>
      </c>
      <c r="C17" s="714" t="s">
        <v>415</v>
      </c>
      <c r="D17" s="394"/>
      <c r="E17" s="257"/>
    </row>
    <row r="18" spans="1:5" ht="18.75" customHeight="1">
      <c r="A18" s="250"/>
      <c r="B18" s="258" t="b">
        <v>0</v>
      </c>
      <c r="C18" s="715" t="s">
        <v>416</v>
      </c>
      <c r="D18" s="394"/>
      <c r="E18" s="257"/>
    </row>
    <row r="19" spans="1:5" ht="18.75" customHeight="1">
      <c r="A19" s="250"/>
      <c r="B19" s="256" t="b">
        <v>0</v>
      </c>
      <c r="C19" s="714" t="s">
        <v>417</v>
      </c>
      <c r="D19" s="394"/>
      <c r="E19" s="257"/>
    </row>
    <row r="20" spans="1:5" ht="18.75" customHeight="1">
      <c r="A20" s="250"/>
      <c r="B20" s="258" t="b">
        <v>0</v>
      </c>
      <c r="C20" s="715" t="s">
        <v>418</v>
      </c>
      <c r="D20" s="394"/>
      <c r="E20" s="257"/>
    </row>
    <row r="21" spans="1:5" ht="18.75" customHeight="1">
      <c r="A21" s="250"/>
      <c r="B21" s="256" t="b">
        <v>0</v>
      </c>
      <c r="C21" s="716" t="s">
        <v>419</v>
      </c>
      <c r="D21" s="394"/>
      <c r="E21" s="259"/>
    </row>
    <row r="22" spans="1:5" ht="18.75" customHeight="1">
      <c r="A22" s="250"/>
      <c r="B22" s="256" t="b">
        <v>0</v>
      </c>
      <c r="C22" s="717" t="s">
        <v>420</v>
      </c>
      <c r="D22" s="394"/>
      <c r="E22" s="259"/>
    </row>
    <row r="23" spans="1:5" ht="18.75" customHeight="1">
      <c r="A23" s="250"/>
      <c r="B23" s="713"/>
      <c r="C23" s="394"/>
      <c r="D23" s="394"/>
      <c r="E23" s="255"/>
    </row>
    <row r="24" spans="1:5" ht="18.75" customHeight="1">
      <c r="A24" s="250"/>
      <c r="B24" s="711" t="s">
        <v>421</v>
      </c>
      <c r="C24" s="394"/>
      <c r="D24" s="394"/>
      <c r="E24" s="252"/>
    </row>
    <row r="25" spans="1:5" ht="18.75" customHeight="1">
      <c r="A25" s="250"/>
      <c r="B25" s="718" t="s">
        <v>422</v>
      </c>
      <c r="C25" s="394"/>
      <c r="D25" s="394"/>
      <c r="E25" s="260"/>
    </row>
    <row r="26" spans="1:5" ht="18.75" customHeight="1">
      <c r="A26" s="250"/>
      <c r="B26" s="713"/>
      <c r="C26" s="394"/>
      <c r="D26" s="394"/>
      <c r="E26" s="255"/>
    </row>
    <row r="27" spans="1:5" ht="18.75" customHeight="1">
      <c r="A27" s="250"/>
      <c r="B27" s="256" t="b">
        <v>0</v>
      </c>
      <c r="C27" s="719" t="s">
        <v>423</v>
      </c>
      <c r="D27" s="394"/>
      <c r="E27" s="261"/>
    </row>
    <row r="28" spans="1:5" ht="18.75" customHeight="1">
      <c r="A28" s="250"/>
      <c r="B28" s="258" t="b">
        <v>0</v>
      </c>
      <c r="C28" s="715" t="s">
        <v>424</v>
      </c>
      <c r="D28" s="394"/>
      <c r="E28" s="257"/>
    </row>
    <row r="29" spans="1:5" ht="18.75" customHeight="1">
      <c r="A29" s="250"/>
      <c r="B29" s="254"/>
      <c r="C29" s="713"/>
      <c r="D29" s="394"/>
      <c r="E29" s="255"/>
    </row>
    <row r="30" spans="1:5" ht="18.75" customHeight="1">
      <c r="A30" s="250"/>
      <c r="B30" s="711" t="s">
        <v>425</v>
      </c>
      <c r="C30" s="394"/>
      <c r="D30" s="394"/>
      <c r="E30" s="252"/>
    </row>
    <row r="31" spans="1:5" ht="18.75" customHeight="1">
      <c r="A31" s="250"/>
      <c r="B31" s="720" t="s">
        <v>426</v>
      </c>
      <c r="C31" s="394"/>
      <c r="D31" s="394"/>
      <c r="E31" s="262"/>
    </row>
    <row r="32" spans="1:5" ht="18.75" customHeight="1">
      <c r="A32" s="250"/>
      <c r="B32" s="713"/>
      <c r="C32" s="394"/>
      <c r="D32" s="394"/>
      <c r="E32" s="255"/>
    </row>
    <row r="33" spans="1:5" ht="18.75" customHeight="1">
      <c r="A33" s="250"/>
      <c r="B33" s="263" t="b">
        <v>0</v>
      </c>
      <c r="C33" s="721" t="s">
        <v>427</v>
      </c>
      <c r="D33" s="394"/>
      <c r="E33" s="257"/>
    </row>
    <row r="34" spans="1:5" ht="18.75" customHeight="1">
      <c r="A34" s="250"/>
      <c r="B34" s="256" t="b">
        <v>0</v>
      </c>
      <c r="C34" s="714" t="s">
        <v>428</v>
      </c>
      <c r="D34" s="394"/>
      <c r="E34" s="257"/>
    </row>
    <row r="35" spans="1:5" ht="18.75" customHeight="1">
      <c r="A35" s="250"/>
      <c r="B35" s="263" t="b">
        <v>0</v>
      </c>
      <c r="C35" s="721" t="s">
        <v>429</v>
      </c>
      <c r="D35" s="394"/>
      <c r="E35" s="257"/>
    </row>
    <row r="36" spans="1:5" ht="18.75" customHeight="1">
      <c r="A36" s="250"/>
      <c r="B36" s="713"/>
      <c r="C36" s="394"/>
      <c r="D36" s="394"/>
      <c r="E36" s="255"/>
    </row>
    <row r="37" spans="1:5" ht="18.75" customHeight="1">
      <c r="A37" s="250"/>
      <c r="B37" s="711" t="s">
        <v>430</v>
      </c>
      <c r="C37" s="394"/>
      <c r="D37" s="394"/>
      <c r="E37" s="252"/>
    </row>
    <row r="38" spans="1:5" ht="18.75" customHeight="1">
      <c r="A38" s="250"/>
      <c r="B38" s="722" t="s">
        <v>431</v>
      </c>
      <c r="C38" s="394"/>
      <c r="D38" s="394"/>
      <c r="E38" s="264"/>
    </row>
    <row r="39" spans="1:5" ht="18.75" customHeight="1">
      <c r="A39" s="250"/>
      <c r="B39" s="723" t="s">
        <v>432</v>
      </c>
      <c r="C39" s="394"/>
      <c r="D39" s="394"/>
      <c r="E39" s="265"/>
    </row>
    <row r="40" spans="1:5" ht="18.75" customHeight="1">
      <c r="A40" s="250"/>
      <c r="B40" s="724" t="s">
        <v>433</v>
      </c>
      <c r="C40" s="394"/>
      <c r="D40" s="394"/>
      <c r="E40" s="266"/>
    </row>
    <row r="41" spans="1:5" ht="18.75" customHeight="1">
      <c r="A41" s="250"/>
      <c r="B41" s="713"/>
      <c r="C41" s="394"/>
      <c r="D41" s="394"/>
      <c r="E41" s="255"/>
    </row>
    <row r="42" spans="1:5" ht="18.75" customHeight="1">
      <c r="A42" s="250"/>
      <c r="B42" s="256" t="b">
        <v>0</v>
      </c>
      <c r="C42" s="714" t="s">
        <v>665</v>
      </c>
      <c r="D42" s="394"/>
      <c r="E42" s="257"/>
    </row>
    <row r="43" spans="1:5" ht="18.75" customHeight="1">
      <c r="A43" s="250"/>
      <c r="B43" s="725"/>
      <c r="C43" s="353"/>
      <c r="D43" s="353"/>
      <c r="E43" s="255"/>
    </row>
    <row r="44" spans="1:5" ht="22.5" customHeight="1">
      <c r="A44" s="248"/>
      <c r="B44" s="726" t="str">
        <f>CONCATENATE(TEXT(SUMÁRIO!D7-16,"DD")," de ",TEXT(SUMÁRIO!D7-16,"MMMM")," - Configuração das Ferramentas")</f>
        <v>08 de fevereiro - Configuração das Ferramentas</v>
      </c>
      <c r="C44" s="702"/>
      <c r="D44" s="703"/>
      <c r="E44" s="249"/>
    </row>
    <row r="45" spans="1:5" ht="18.75" customHeight="1">
      <c r="A45" s="246"/>
      <c r="B45" s="727" t="s">
        <v>434</v>
      </c>
      <c r="C45" s="394"/>
      <c r="D45" s="396"/>
      <c r="E45" s="250"/>
    </row>
    <row r="46" spans="1:5" ht="18.75" customHeight="1">
      <c r="A46" s="267"/>
      <c r="B46" s="728" t="s">
        <v>435</v>
      </c>
      <c r="C46" s="394"/>
      <c r="D46" s="394"/>
      <c r="E46" s="246"/>
    </row>
    <row r="47" spans="1:5" ht="18.75" customHeight="1">
      <c r="A47" s="244"/>
      <c r="B47" s="729"/>
      <c r="C47" s="394"/>
      <c r="D47" s="730"/>
      <c r="E47" s="246"/>
    </row>
    <row r="48" spans="1:5" ht="18.75" customHeight="1">
      <c r="A48" s="246"/>
      <c r="B48" s="268" t="b">
        <v>0</v>
      </c>
      <c r="C48" s="733" t="s">
        <v>436</v>
      </c>
      <c r="D48" s="367"/>
      <c r="E48" s="246"/>
    </row>
    <row r="49" spans="1:5" ht="18.75" customHeight="1">
      <c r="A49" s="246"/>
      <c r="B49" s="256" t="b">
        <v>0</v>
      </c>
      <c r="C49" s="734" t="s">
        <v>437</v>
      </c>
      <c r="D49" s="371"/>
      <c r="E49" s="246"/>
    </row>
    <row r="50" spans="1:5" ht="18.75" customHeight="1">
      <c r="A50" s="246"/>
      <c r="B50" s="258" t="b">
        <v>0</v>
      </c>
      <c r="C50" s="733" t="s">
        <v>438</v>
      </c>
      <c r="D50" s="367"/>
      <c r="E50" s="246"/>
    </row>
    <row r="51" spans="1:5" ht="18.75" customHeight="1">
      <c r="A51" s="246"/>
      <c r="B51" s="256" t="b">
        <v>0</v>
      </c>
      <c r="C51" s="734" t="s">
        <v>439</v>
      </c>
      <c r="D51" s="371"/>
      <c r="E51" s="246"/>
    </row>
    <row r="52" spans="1:5" ht="18.75" customHeight="1">
      <c r="A52" s="246"/>
      <c r="B52" s="258" t="b">
        <v>0</v>
      </c>
      <c r="C52" s="733" t="s">
        <v>440</v>
      </c>
      <c r="D52" s="367"/>
      <c r="E52" s="246"/>
    </row>
    <row r="53" spans="1:5" ht="18.75" customHeight="1">
      <c r="A53" s="735"/>
      <c r="B53" s="269" t="b">
        <v>0</v>
      </c>
      <c r="C53" s="736" t="s">
        <v>441</v>
      </c>
      <c r="D53" s="369"/>
      <c r="E53" s="246"/>
    </row>
    <row r="54" spans="1:5" ht="18.75" customHeight="1">
      <c r="A54" s="705"/>
      <c r="B54" s="731"/>
      <c r="C54" s="364"/>
      <c r="D54" s="365"/>
      <c r="E54" s="246"/>
    </row>
    <row r="55" spans="1:5" ht="18.75" customHeight="1">
      <c r="A55" s="705"/>
      <c r="B55" s="732" t="s">
        <v>442</v>
      </c>
      <c r="C55" s="364"/>
      <c r="D55" s="365"/>
      <c r="E55" s="246"/>
    </row>
    <row r="56" spans="1:5" ht="18.75" customHeight="1">
      <c r="A56" s="705"/>
      <c r="B56" s="738"/>
      <c r="C56" s="364"/>
      <c r="D56" s="365"/>
      <c r="E56" s="246"/>
    </row>
    <row r="57" spans="1:5" ht="18.75" customHeight="1">
      <c r="A57" s="706"/>
      <c r="B57" s="268" t="b">
        <v>0</v>
      </c>
      <c r="C57" s="739" t="s">
        <v>443</v>
      </c>
      <c r="D57" s="740"/>
      <c r="E57" s="246"/>
    </row>
    <row r="58" spans="1:5" ht="18.75" customHeight="1">
      <c r="A58" s="246"/>
      <c r="B58" s="269" t="b">
        <v>0</v>
      </c>
      <c r="C58" s="736" t="s">
        <v>444</v>
      </c>
      <c r="D58" s="369"/>
      <c r="E58" s="246"/>
    </row>
    <row r="59" spans="1:5" ht="18.75" customHeight="1">
      <c r="A59" s="246"/>
      <c r="B59" s="268" t="b">
        <v>0</v>
      </c>
      <c r="C59" s="739" t="s">
        <v>445</v>
      </c>
      <c r="D59" s="740"/>
      <c r="E59" s="246"/>
    </row>
    <row r="60" spans="1:5" ht="18.75" customHeight="1">
      <c r="A60" s="735"/>
      <c r="B60" s="269" t="b">
        <v>0</v>
      </c>
      <c r="C60" s="736" t="s">
        <v>446</v>
      </c>
      <c r="D60" s="369"/>
      <c r="E60" s="246"/>
    </row>
    <row r="61" spans="1:5" ht="18.75" customHeight="1">
      <c r="A61" s="705"/>
      <c r="B61" s="731"/>
      <c r="C61" s="364"/>
      <c r="D61" s="365"/>
      <c r="E61" s="246"/>
    </row>
    <row r="62" spans="1:5" ht="18.75" customHeight="1">
      <c r="A62" s="705"/>
      <c r="B62" s="737" t="s">
        <v>447</v>
      </c>
      <c r="C62" s="364"/>
      <c r="D62" s="365"/>
      <c r="E62" s="246"/>
    </row>
    <row r="63" spans="1:5" ht="18.75" customHeight="1">
      <c r="A63" s="705"/>
      <c r="B63" s="729"/>
      <c r="C63" s="394"/>
      <c r="D63" s="730"/>
      <c r="E63" s="246"/>
    </row>
    <row r="64" spans="1:5" ht="18.75" customHeight="1">
      <c r="A64" s="706"/>
      <c r="B64" s="268" t="b">
        <v>0</v>
      </c>
      <c r="C64" s="733" t="s">
        <v>448</v>
      </c>
      <c r="D64" s="396"/>
      <c r="E64" s="246"/>
    </row>
    <row r="65" spans="1:5" ht="18.75" customHeight="1">
      <c r="A65" s="246"/>
      <c r="B65" s="256" t="b">
        <v>0</v>
      </c>
      <c r="C65" s="734" t="s">
        <v>449</v>
      </c>
      <c r="D65" s="396"/>
      <c r="E65" s="246"/>
    </row>
    <row r="66" spans="1:5" ht="18.75" customHeight="1">
      <c r="A66" s="246"/>
      <c r="B66" s="258" t="b">
        <v>0</v>
      </c>
      <c r="C66" s="733" t="s">
        <v>450</v>
      </c>
      <c r="D66" s="396"/>
      <c r="E66" s="246"/>
    </row>
    <row r="67" spans="1:5" ht="18.75" customHeight="1">
      <c r="A67" s="246"/>
      <c r="B67" s="256" t="b">
        <v>0</v>
      </c>
      <c r="C67" s="734" t="s">
        <v>451</v>
      </c>
      <c r="D67" s="396"/>
      <c r="E67" s="246"/>
    </row>
    <row r="68" spans="1:5" ht="18.75" customHeight="1">
      <c r="A68" s="246"/>
      <c r="B68" s="741" t="b">
        <v>0</v>
      </c>
      <c r="C68" s="733" t="s">
        <v>452</v>
      </c>
      <c r="D68" s="396"/>
      <c r="E68" s="246"/>
    </row>
    <row r="69" spans="1:5" ht="18.75" customHeight="1">
      <c r="A69" s="246"/>
      <c r="B69" s="360"/>
      <c r="C69" s="743" t="s">
        <v>453</v>
      </c>
      <c r="D69" s="396"/>
      <c r="E69" s="246"/>
    </row>
    <row r="70" spans="1:5" ht="18.75" customHeight="1">
      <c r="A70" s="246"/>
      <c r="B70" s="396"/>
      <c r="C70" s="743" t="s">
        <v>454</v>
      </c>
      <c r="D70" s="396"/>
      <c r="E70" s="246"/>
    </row>
    <row r="71" spans="1:5" ht="18.75" customHeight="1">
      <c r="A71" s="246"/>
      <c r="B71" s="742" t="b">
        <v>0</v>
      </c>
      <c r="C71" s="734" t="s">
        <v>455</v>
      </c>
      <c r="D71" s="396"/>
      <c r="E71" s="246"/>
    </row>
    <row r="72" spans="1:5" ht="18.75" customHeight="1">
      <c r="A72" s="246"/>
      <c r="B72" s="396"/>
      <c r="C72" s="744" t="s">
        <v>456</v>
      </c>
      <c r="D72" s="396"/>
      <c r="E72" s="246"/>
    </row>
    <row r="73" spans="1:5" ht="18.75" customHeight="1">
      <c r="A73" s="246"/>
      <c r="B73" s="258" t="b">
        <v>0</v>
      </c>
      <c r="C73" s="733" t="s">
        <v>457</v>
      </c>
      <c r="D73" s="396"/>
      <c r="E73" s="246"/>
    </row>
    <row r="74" spans="1:5" ht="18.75" customHeight="1">
      <c r="A74" s="244"/>
      <c r="B74" s="745"/>
      <c r="C74" s="353"/>
      <c r="D74" s="353"/>
      <c r="E74" s="246"/>
    </row>
    <row r="75" spans="1:5" ht="18.75" customHeight="1">
      <c r="A75" s="244"/>
      <c r="B75" s="732" t="s">
        <v>458</v>
      </c>
      <c r="C75" s="364"/>
      <c r="D75" s="364"/>
      <c r="E75" s="246"/>
    </row>
    <row r="76" spans="1:5" ht="18.75" customHeight="1">
      <c r="A76" s="244"/>
      <c r="B76" s="746"/>
      <c r="C76" s="364"/>
      <c r="D76" s="365"/>
      <c r="E76" s="246"/>
    </row>
    <row r="77" spans="1:5" ht="18.75" customHeight="1">
      <c r="A77" s="244"/>
      <c r="B77" s="268" t="b">
        <v>0</v>
      </c>
      <c r="C77" s="747" t="s">
        <v>459</v>
      </c>
      <c r="D77" s="365"/>
      <c r="E77" s="246"/>
    </row>
    <row r="78" spans="1:5" ht="18.75" customHeight="1">
      <c r="A78" s="244"/>
      <c r="B78" s="269" t="b">
        <v>0</v>
      </c>
      <c r="C78" s="748" t="s">
        <v>460</v>
      </c>
      <c r="D78" s="365"/>
      <c r="E78" s="246"/>
    </row>
    <row r="79" spans="1:5" ht="18.75" customHeight="1">
      <c r="A79" s="244"/>
      <c r="B79" s="268" t="b">
        <v>0</v>
      </c>
      <c r="C79" s="747" t="s">
        <v>461</v>
      </c>
      <c r="D79" s="365"/>
      <c r="E79" s="246"/>
    </row>
    <row r="80" spans="1:5" ht="18.75" customHeight="1">
      <c r="A80" s="247"/>
      <c r="B80" s="745"/>
      <c r="C80" s="353"/>
      <c r="D80" s="360"/>
      <c r="E80" s="247"/>
    </row>
    <row r="81" spans="1:5" ht="18.75" customHeight="1">
      <c r="A81" s="271"/>
      <c r="B81" s="749" t="s">
        <v>462</v>
      </c>
      <c r="C81" s="750"/>
      <c r="D81" s="751"/>
      <c r="E81" s="272"/>
    </row>
    <row r="82" spans="1:5" ht="18.75" customHeight="1">
      <c r="A82" s="273"/>
      <c r="B82" s="720" t="s">
        <v>426</v>
      </c>
      <c r="C82" s="394"/>
      <c r="D82" s="396"/>
      <c r="E82" s="274"/>
    </row>
    <row r="83" spans="1:5" ht="18.75" customHeight="1">
      <c r="A83" s="273"/>
      <c r="B83" s="713"/>
      <c r="C83" s="394"/>
      <c r="D83" s="396"/>
      <c r="E83" s="274"/>
    </row>
    <row r="84" spans="1:5" ht="18.75" customHeight="1">
      <c r="A84" s="273"/>
      <c r="B84" s="263" t="b">
        <v>0</v>
      </c>
      <c r="C84" s="721" t="s">
        <v>463</v>
      </c>
      <c r="D84" s="396"/>
      <c r="E84" s="274"/>
    </row>
    <row r="85" spans="1:5" ht="18.75" customHeight="1">
      <c r="A85" s="273"/>
      <c r="B85" s="256" t="b">
        <v>0</v>
      </c>
      <c r="C85" s="714" t="s">
        <v>464</v>
      </c>
      <c r="D85" s="396"/>
      <c r="E85" s="274"/>
    </row>
    <row r="86" spans="1:5" ht="18.75" customHeight="1">
      <c r="A86" s="273"/>
      <c r="B86" s="263" t="b">
        <v>0</v>
      </c>
      <c r="C86" s="721" t="s">
        <v>465</v>
      </c>
      <c r="D86" s="396"/>
      <c r="E86" s="274"/>
    </row>
    <row r="87" spans="1:5" ht="18.75" customHeight="1">
      <c r="A87" s="273"/>
      <c r="B87" s="713"/>
      <c r="C87" s="394"/>
      <c r="D87" s="396"/>
      <c r="E87" s="274"/>
    </row>
    <row r="88" spans="1:5" ht="22.5" customHeight="1">
      <c r="A88" s="248"/>
      <c r="B88" s="775" t="str">
        <f>CONCATENATE(TEXT(SUMÁRIO!D7-15,"DD")," de ",TEXT(SUMÁRIO!D7-23,"MMMM")," - Configurações de Tráfego")</f>
        <v>09 de fevereiro - Configurações de Tráfego</v>
      </c>
      <c r="C88" s="776"/>
      <c r="D88" s="777"/>
      <c r="E88" s="249"/>
    </row>
    <row r="89" spans="1:5" ht="18.75" customHeight="1">
      <c r="A89" s="244"/>
      <c r="B89" s="778" t="s">
        <v>466</v>
      </c>
      <c r="C89" s="779"/>
      <c r="D89" s="779"/>
      <c r="E89" s="275"/>
    </row>
    <row r="90" spans="1:5" ht="18.75" customHeight="1">
      <c r="A90" s="244"/>
      <c r="B90" s="780"/>
      <c r="C90" s="394"/>
      <c r="D90" s="394"/>
      <c r="E90" s="246"/>
    </row>
    <row r="91" spans="1:5" ht="18.75" customHeight="1">
      <c r="A91" s="244"/>
      <c r="B91" s="781" t="s">
        <v>467</v>
      </c>
      <c r="C91" s="364"/>
      <c r="D91" s="365"/>
      <c r="E91" s="246"/>
    </row>
    <row r="92" spans="1:5" ht="18.75" customHeight="1">
      <c r="A92" s="244"/>
      <c r="B92" s="785" t="str">
        <f>CONCATENATE("⚠️ Atenção!! Sua captação de leads começará no dia ",TEXT(SUMÁRIO!D7-14,"DD/MM") )</f>
        <v>⚠️ Atenção!! Sua captação de leads começará no dia 10/02</v>
      </c>
      <c r="C92" s="364"/>
      <c r="D92" s="365"/>
      <c r="E92" s="246"/>
    </row>
    <row r="93" spans="1:5" ht="18.75" customHeight="1">
      <c r="A93" s="244"/>
      <c r="B93" s="786" t="s">
        <v>468</v>
      </c>
      <c r="C93" s="364"/>
      <c r="D93" s="365"/>
      <c r="E93" s="246"/>
    </row>
    <row r="94" spans="1:5" ht="18.75" customHeight="1">
      <c r="A94" s="244"/>
      <c r="B94" s="787" t="s">
        <v>469</v>
      </c>
      <c r="C94" s="364"/>
      <c r="D94" s="364"/>
      <c r="E94" s="735"/>
    </row>
    <row r="95" spans="1:5" ht="18.75" customHeight="1">
      <c r="A95" s="244"/>
      <c r="B95" s="788"/>
      <c r="C95" s="394"/>
      <c r="D95" s="394"/>
      <c r="E95" s="705"/>
    </row>
    <row r="96" spans="1:5" ht="18.75" customHeight="1">
      <c r="A96" s="244"/>
      <c r="B96" s="276" t="b">
        <v>0</v>
      </c>
      <c r="C96" s="789" t="s">
        <v>470</v>
      </c>
      <c r="D96" s="364"/>
      <c r="E96" s="705"/>
    </row>
    <row r="97" spans="1:5" ht="18.75" customHeight="1">
      <c r="A97" s="244"/>
      <c r="B97" s="790" t="b">
        <v>0</v>
      </c>
      <c r="C97" s="782" t="s">
        <v>471</v>
      </c>
      <c r="D97" s="394"/>
      <c r="E97" s="705"/>
    </row>
    <row r="98" spans="1:5" ht="18.75" customHeight="1">
      <c r="A98" s="244"/>
      <c r="B98" s="396"/>
      <c r="C98" s="783" t="s">
        <v>472</v>
      </c>
      <c r="D98" s="394"/>
      <c r="E98" s="705"/>
    </row>
    <row r="99" spans="1:5" ht="18.75" customHeight="1">
      <c r="A99" s="244"/>
      <c r="B99" s="277" t="b">
        <v>0</v>
      </c>
      <c r="C99" s="716" t="s">
        <v>473</v>
      </c>
      <c r="D99" s="394"/>
      <c r="E99" s="705"/>
    </row>
    <row r="100" spans="1:5" ht="18.75" customHeight="1">
      <c r="A100" s="244"/>
      <c r="B100" s="256"/>
      <c r="C100" s="784" t="s">
        <v>474</v>
      </c>
      <c r="D100" s="394"/>
      <c r="E100" s="705"/>
    </row>
    <row r="101" spans="1:5" ht="18.75" customHeight="1">
      <c r="A101" s="244"/>
      <c r="B101" s="788"/>
      <c r="C101" s="394"/>
      <c r="D101" s="394"/>
      <c r="E101" s="705"/>
    </row>
    <row r="102" spans="1:5" ht="18.75" customHeight="1">
      <c r="A102" s="244"/>
      <c r="B102" s="791" t="s">
        <v>475</v>
      </c>
      <c r="C102" s="394"/>
      <c r="D102" s="394"/>
      <c r="E102" s="706"/>
    </row>
    <row r="103" spans="1:5" ht="18.75" customHeight="1">
      <c r="A103" s="244"/>
      <c r="B103" s="788"/>
      <c r="C103" s="394"/>
      <c r="D103" s="396"/>
      <c r="E103" s="246"/>
    </row>
    <row r="104" spans="1:5" ht="18.75" customHeight="1">
      <c r="A104" s="244"/>
      <c r="B104" s="268" t="b">
        <v>0</v>
      </c>
      <c r="C104" s="792" t="s">
        <v>476</v>
      </c>
      <c r="D104" s="365"/>
      <c r="E104" s="246"/>
    </row>
    <row r="105" spans="1:5" ht="18.75" customHeight="1">
      <c r="A105" s="244"/>
      <c r="B105" s="256" t="b">
        <v>0</v>
      </c>
      <c r="C105" s="793" t="s">
        <v>666</v>
      </c>
      <c r="D105" s="396"/>
      <c r="E105" s="246"/>
    </row>
    <row r="106" spans="1:5" ht="18.75" customHeight="1">
      <c r="A106" s="244"/>
      <c r="B106" s="258" t="b">
        <v>0</v>
      </c>
      <c r="C106" s="794" t="s">
        <v>477</v>
      </c>
      <c r="D106" s="396"/>
      <c r="E106" s="246"/>
    </row>
    <row r="107" spans="1:5" ht="18.75" customHeight="1">
      <c r="A107" s="244"/>
      <c r="B107" s="256" t="b">
        <v>0</v>
      </c>
      <c r="C107" s="795" t="s">
        <v>478</v>
      </c>
      <c r="D107" s="396"/>
      <c r="E107" s="246"/>
    </row>
    <row r="108" spans="1:5" ht="18.75" customHeight="1">
      <c r="A108" s="244"/>
      <c r="B108" s="258" t="b">
        <v>0</v>
      </c>
      <c r="C108" s="796" t="s">
        <v>479</v>
      </c>
      <c r="D108" s="396"/>
      <c r="E108" s="246"/>
    </row>
    <row r="109" spans="1:5" ht="18.75" customHeight="1">
      <c r="A109" s="244"/>
      <c r="B109" s="256" t="b">
        <v>0</v>
      </c>
      <c r="C109" s="797" t="s">
        <v>480</v>
      </c>
      <c r="D109" s="396"/>
      <c r="E109" s="246"/>
    </row>
    <row r="110" spans="1:5" ht="18.75" customHeight="1">
      <c r="A110" s="244"/>
      <c r="B110" s="258" t="b">
        <v>0</v>
      </c>
      <c r="C110" s="798" t="s">
        <v>481</v>
      </c>
      <c r="D110" s="396"/>
      <c r="E110" s="246"/>
    </row>
    <row r="111" spans="1:5" ht="18.75" customHeight="1">
      <c r="A111" s="244"/>
      <c r="B111" s="256" t="b">
        <v>0</v>
      </c>
      <c r="C111" s="797" t="str">
        <f>CONCATENATE("7. Programe a campanha para iniciar no dia ",TEXT(SUMÁRIO!D7-14,"DD/MM"))</f>
        <v>7. Programe a campanha para iniciar no dia 10/02</v>
      </c>
      <c r="D111" s="396"/>
      <c r="E111" s="246"/>
    </row>
    <row r="112" spans="1:5" ht="18.75" customHeight="1">
      <c r="A112" s="244"/>
      <c r="B112" s="258"/>
      <c r="C112" s="799"/>
      <c r="D112" s="396"/>
      <c r="E112" s="246"/>
    </row>
    <row r="113" spans="1:5" ht="18.75" customHeight="1">
      <c r="A113" s="244"/>
      <c r="B113" s="757" t="s">
        <v>482</v>
      </c>
      <c r="C113" s="364"/>
      <c r="D113" s="365"/>
      <c r="E113" s="278"/>
    </row>
    <row r="114" spans="1:5" ht="18.75" customHeight="1">
      <c r="A114" s="244"/>
      <c r="B114" s="758" t="s">
        <v>483</v>
      </c>
      <c r="C114" s="364"/>
      <c r="D114" s="365"/>
      <c r="E114" s="278"/>
    </row>
    <row r="115" spans="1:5" ht="18.75" customHeight="1">
      <c r="A115" s="244"/>
      <c r="B115" s="759"/>
      <c r="C115" s="468"/>
      <c r="D115" s="469"/>
      <c r="E115" s="278"/>
    </row>
    <row r="116" spans="1:5" ht="22.5" customHeight="1">
      <c r="A116" s="250"/>
      <c r="B116" s="800" t="str">
        <f>CONCATENATE(TEXT(SUMÁRIO!D7-14,"DD")," de ",TEXT(SUMÁRIO!D7-14,"MMMM")," - Início da Captação de Leads")</f>
        <v>10 de fevereiro - Início da Captação de Leads</v>
      </c>
      <c r="C116" s="765"/>
      <c r="D116" s="766"/>
      <c r="E116" s="279"/>
    </row>
    <row r="117" spans="1:5" ht="18.75" customHeight="1">
      <c r="A117" s="247"/>
      <c r="B117" s="801" t="str">
        <f>CONCATENATE("⚠️ Atenção! A sua Captação de Leads começa hoje, ",TEXT(SUMÁRIO!D7-14,"DD/MM"))</f>
        <v>⚠️ Atenção! A sua Captação de Leads começa hoje, 10/02</v>
      </c>
      <c r="C117" s="394"/>
      <c r="D117" s="396"/>
      <c r="E117" s="247"/>
    </row>
    <row r="118" spans="1:5" ht="18.75" customHeight="1">
      <c r="A118" s="247"/>
      <c r="B118" s="786" t="s">
        <v>484</v>
      </c>
      <c r="C118" s="364"/>
      <c r="D118" s="365"/>
      <c r="E118" s="247"/>
    </row>
    <row r="119" spans="1:5" ht="18.75" customHeight="1">
      <c r="A119" s="247"/>
      <c r="B119" s="802" t="s">
        <v>485</v>
      </c>
      <c r="C119" s="364"/>
      <c r="D119" s="365"/>
      <c r="E119" s="247"/>
    </row>
    <row r="120" spans="1:5" ht="18.75" customHeight="1">
      <c r="A120" s="247"/>
      <c r="B120" s="803"/>
      <c r="C120" s="364"/>
      <c r="D120" s="365"/>
      <c r="E120" s="247"/>
    </row>
    <row r="121" spans="1:5" ht="18.75" customHeight="1">
      <c r="A121" s="248"/>
      <c r="B121" s="269" t="b">
        <v>0</v>
      </c>
      <c r="C121" s="804" t="s">
        <v>486</v>
      </c>
      <c r="D121" s="365"/>
      <c r="E121" s="249"/>
    </row>
    <row r="122" spans="1:5" ht="13.9">
      <c r="A122" s="248"/>
      <c r="B122" s="755" t="s">
        <v>286</v>
      </c>
      <c r="C122" s="364"/>
      <c r="D122" s="365"/>
      <c r="E122" s="249"/>
    </row>
    <row r="123" spans="1:5" ht="18.75" customHeight="1">
      <c r="A123" s="248"/>
      <c r="B123" s="269" t="b">
        <v>0</v>
      </c>
      <c r="C123" s="756" t="s">
        <v>487</v>
      </c>
      <c r="D123" s="364"/>
      <c r="E123" s="259"/>
    </row>
    <row r="124" spans="1:5" ht="18.75" customHeight="1">
      <c r="A124" s="247"/>
      <c r="B124" s="745"/>
      <c r="C124" s="353"/>
      <c r="D124" s="353"/>
      <c r="E124" s="280"/>
    </row>
    <row r="125" spans="1:5" ht="18.75" customHeight="1">
      <c r="A125" s="244"/>
      <c r="B125" s="757" t="s">
        <v>488</v>
      </c>
      <c r="C125" s="364"/>
      <c r="D125" s="365"/>
      <c r="E125" s="281"/>
    </row>
    <row r="126" spans="1:5" ht="18.75" customHeight="1">
      <c r="A126" s="244"/>
      <c r="B126" s="758" t="s">
        <v>489</v>
      </c>
      <c r="C126" s="364"/>
      <c r="D126" s="365"/>
      <c r="E126" s="281"/>
    </row>
    <row r="127" spans="1:5" ht="18.75" customHeight="1">
      <c r="A127" s="244"/>
      <c r="B127" s="759"/>
      <c r="C127" s="468"/>
      <c r="D127" s="469"/>
      <c r="E127" s="281"/>
    </row>
    <row r="128" spans="1:5" ht="22.5" customHeight="1">
      <c r="A128" s="250"/>
      <c r="B128" s="710" t="str">
        <f>CONCATENATE(TEXT(SUMÁRIO!D7-13,"DD")," de ",TEXT(SUMÁRIO!D7-13,"MMMM")," - Otimização da Campanha de Captação")</f>
        <v>11 de fevereiro - Otimização da Campanha de Captação</v>
      </c>
      <c r="C128" s="702"/>
      <c r="D128" s="703"/>
      <c r="E128" s="760"/>
    </row>
    <row r="129" spans="1:5" ht="18.75" customHeight="1">
      <c r="A129" s="250"/>
      <c r="B129" s="752" t="s">
        <v>490</v>
      </c>
      <c r="C129" s="394"/>
      <c r="D129" s="394"/>
      <c r="E129" s="705"/>
    </row>
    <row r="130" spans="1:5" ht="12.75">
      <c r="A130" s="250"/>
      <c r="B130" s="753" t="s">
        <v>667</v>
      </c>
      <c r="C130" s="394"/>
      <c r="D130" s="394"/>
      <c r="E130" s="705"/>
    </row>
    <row r="131" spans="1:5" ht="18.75" customHeight="1">
      <c r="A131" s="250"/>
      <c r="B131" s="754" t="s">
        <v>668</v>
      </c>
      <c r="C131" s="394"/>
      <c r="D131" s="394"/>
      <c r="E131" s="705"/>
    </row>
    <row r="132" spans="1:5" ht="18.75" customHeight="1">
      <c r="A132" s="250"/>
      <c r="B132" s="768"/>
      <c r="C132" s="394"/>
      <c r="D132" s="394"/>
      <c r="E132" s="706"/>
    </row>
    <row r="133" spans="1:5" ht="18.75" customHeight="1">
      <c r="A133" s="250"/>
      <c r="B133" s="277" t="b">
        <v>0</v>
      </c>
      <c r="C133" s="716" t="s">
        <v>491</v>
      </c>
      <c r="D133" s="396"/>
      <c r="E133" s="279"/>
    </row>
    <row r="134" spans="1:5" ht="18.75" customHeight="1">
      <c r="A134" s="250"/>
      <c r="B134" s="270"/>
      <c r="C134" s="769" t="s">
        <v>492</v>
      </c>
      <c r="D134" s="360"/>
      <c r="E134" s="279"/>
    </row>
    <row r="135" spans="1:5" ht="18.75" customHeight="1">
      <c r="A135" s="250"/>
      <c r="B135" s="770"/>
      <c r="C135" s="353"/>
      <c r="D135" s="353"/>
      <c r="E135" s="279"/>
    </row>
    <row r="136" spans="1:5" ht="22.5" customHeight="1">
      <c r="A136" s="250"/>
      <c r="B136" s="771" t="str">
        <f>CONCATENATE(TEXT(SUMÁRIO!D7-13,"DD")," de ",TEXT(SUMÁRIO!D7-13,"MMMM")," - Conteúdo de AQUECIMENTO")</f>
        <v>11 de fevereiro - Conteúdo de AQUECIMENTO</v>
      </c>
      <c r="C136" s="702"/>
      <c r="D136" s="703"/>
      <c r="E136" s="279"/>
    </row>
    <row r="137" spans="1:5" ht="18.75" customHeight="1">
      <c r="A137" s="250"/>
      <c r="B137" s="772" t="s">
        <v>493</v>
      </c>
      <c r="C137" s="364"/>
      <c r="D137" s="773"/>
      <c r="E137" s="260"/>
    </row>
    <row r="138" spans="1:5" ht="18.75" customHeight="1">
      <c r="A138" s="250"/>
      <c r="B138" s="774"/>
      <c r="C138" s="394"/>
      <c r="D138" s="762"/>
      <c r="E138" s="264"/>
    </row>
    <row r="139" spans="1:5" ht="18.75" customHeight="1">
      <c r="A139" s="250"/>
      <c r="B139" s="282" t="b">
        <v>0</v>
      </c>
      <c r="C139" s="761" t="s">
        <v>494</v>
      </c>
      <c r="D139" s="762"/>
      <c r="E139" s="283"/>
    </row>
    <row r="140" spans="1:5" ht="18.75" customHeight="1">
      <c r="A140" s="250"/>
      <c r="B140" s="284" t="b">
        <v>0</v>
      </c>
      <c r="C140" s="763" t="s">
        <v>495</v>
      </c>
      <c r="D140" s="762"/>
      <c r="E140" s="285"/>
    </row>
    <row r="141" spans="1:5" ht="18.75" customHeight="1">
      <c r="A141" s="250"/>
      <c r="B141" s="282" t="b">
        <v>0</v>
      </c>
      <c r="C141" s="761" t="s">
        <v>496</v>
      </c>
      <c r="D141" s="396"/>
      <c r="E141" s="285"/>
    </row>
    <row r="142" spans="1:5" ht="18.75" customHeight="1">
      <c r="A142" s="250"/>
      <c r="B142" s="764"/>
      <c r="C142" s="765"/>
      <c r="D142" s="766"/>
      <c r="E142" s="285"/>
    </row>
    <row r="143" spans="1:5" ht="22.5" customHeight="1">
      <c r="A143" s="767"/>
      <c r="B143" s="702"/>
      <c r="C143" s="702"/>
      <c r="D143" s="703"/>
      <c r="E143" s="250"/>
    </row>
  </sheetData>
  <mergeCells count="145">
    <mergeCell ref="C121:D121"/>
    <mergeCell ref="C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B92:D92"/>
    <mergeCell ref="B93:D93"/>
    <mergeCell ref="B94:D94"/>
    <mergeCell ref="E94:E102"/>
    <mergeCell ref="B95:D95"/>
    <mergeCell ref="C96:D96"/>
    <mergeCell ref="B97:B98"/>
    <mergeCell ref="B101:D101"/>
    <mergeCell ref="B102:D102"/>
    <mergeCell ref="E128:E132"/>
    <mergeCell ref="C139:D139"/>
    <mergeCell ref="C140:D140"/>
    <mergeCell ref="C141:D141"/>
    <mergeCell ref="B142:D142"/>
    <mergeCell ref="A143:D143"/>
    <mergeCell ref="B132:D132"/>
    <mergeCell ref="C133:D133"/>
    <mergeCell ref="C134:D134"/>
    <mergeCell ref="B135:D135"/>
    <mergeCell ref="B136:D136"/>
    <mergeCell ref="B137:D137"/>
    <mergeCell ref="B138:D138"/>
    <mergeCell ref="B82:D82"/>
    <mergeCell ref="B83:D83"/>
    <mergeCell ref="C84:D84"/>
    <mergeCell ref="B128:D128"/>
    <mergeCell ref="B129:D129"/>
    <mergeCell ref="B130:D130"/>
    <mergeCell ref="B131:D131"/>
    <mergeCell ref="B122:D122"/>
    <mergeCell ref="C123:D123"/>
    <mergeCell ref="B124:D124"/>
    <mergeCell ref="B125:D125"/>
    <mergeCell ref="B126:D126"/>
    <mergeCell ref="B127:D127"/>
    <mergeCell ref="C85:D85"/>
    <mergeCell ref="C86:D86"/>
    <mergeCell ref="B87:D87"/>
    <mergeCell ref="B88:D88"/>
    <mergeCell ref="B89:D89"/>
    <mergeCell ref="B90:D90"/>
    <mergeCell ref="B91:D91"/>
    <mergeCell ref="C97:D97"/>
    <mergeCell ref="C98:D98"/>
    <mergeCell ref="C99:D99"/>
    <mergeCell ref="C100:D100"/>
    <mergeCell ref="C73:D73"/>
    <mergeCell ref="B74:D74"/>
    <mergeCell ref="B75:D75"/>
    <mergeCell ref="B76:D76"/>
    <mergeCell ref="C77:D77"/>
    <mergeCell ref="C78:D78"/>
    <mergeCell ref="C79:D79"/>
    <mergeCell ref="B80:D80"/>
    <mergeCell ref="B81:D81"/>
    <mergeCell ref="B68:B70"/>
    <mergeCell ref="B71:B72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A53:A57"/>
    <mergeCell ref="C53:D53"/>
    <mergeCell ref="B62:D62"/>
    <mergeCell ref="B63:D63"/>
    <mergeCell ref="B56:D56"/>
    <mergeCell ref="C57:D57"/>
    <mergeCell ref="C58:D58"/>
    <mergeCell ref="C59:D59"/>
    <mergeCell ref="A60:A64"/>
    <mergeCell ref="C60:D60"/>
    <mergeCell ref="B61:D61"/>
    <mergeCell ref="C42:D42"/>
    <mergeCell ref="B43:D43"/>
    <mergeCell ref="B44:D44"/>
    <mergeCell ref="B45:D45"/>
    <mergeCell ref="B46:D46"/>
    <mergeCell ref="B47:D47"/>
    <mergeCell ref="B54:D54"/>
    <mergeCell ref="B55:D55"/>
    <mergeCell ref="C48:D48"/>
    <mergeCell ref="C49:D49"/>
    <mergeCell ref="C50:D50"/>
    <mergeCell ref="C51:D51"/>
    <mergeCell ref="C52:D52"/>
    <mergeCell ref="C33:D33"/>
    <mergeCell ref="C34:D34"/>
    <mergeCell ref="C35:D35"/>
    <mergeCell ref="B36:D36"/>
    <mergeCell ref="B37:D37"/>
    <mergeCell ref="B38:D38"/>
    <mergeCell ref="B39:D39"/>
    <mergeCell ref="B40:D40"/>
    <mergeCell ref="B41:D41"/>
    <mergeCell ref="B24:D24"/>
    <mergeCell ref="B25:D25"/>
    <mergeCell ref="B26:D26"/>
    <mergeCell ref="C27:D27"/>
    <mergeCell ref="C28:D28"/>
    <mergeCell ref="C29:D29"/>
    <mergeCell ref="B30:D30"/>
    <mergeCell ref="B31:D31"/>
    <mergeCell ref="B32:D32"/>
    <mergeCell ref="B15:D15"/>
    <mergeCell ref="B16:D16"/>
    <mergeCell ref="C17:D17"/>
    <mergeCell ref="C18:D18"/>
    <mergeCell ref="C19:D19"/>
    <mergeCell ref="C20:D20"/>
    <mergeCell ref="C21:D21"/>
    <mergeCell ref="C22:D22"/>
    <mergeCell ref="B23:D23"/>
    <mergeCell ref="A1:D2"/>
    <mergeCell ref="A3:D3"/>
    <mergeCell ref="B4:B6"/>
    <mergeCell ref="B9:D9"/>
    <mergeCell ref="B10:D10"/>
    <mergeCell ref="B11:D11"/>
    <mergeCell ref="B12:D12"/>
    <mergeCell ref="B13:D13"/>
    <mergeCell ref="B14:D14"/>
  </mergeCells>
  <hyperlinks>
    <hyperlink ref="B15" r:id="rId1" xr:uid="{00000000-0004-0000-0400-000000000000}"/>
    <hyperlink ref="B40" r:id="rId2" xr:uid="{00000000-0004-0000-0400-000001000000}"/>
    <hyperlink ref="B45" r:id="rId3" xr:uid="{00000000-0004-0000-0400-000002000000}"/>
    <hyperlink ref="C48" r:id="rId4" xr:uid="{00000000-0004-0000-0400-000003000000}"/>
    <hyperlink ref="C57" r:id="rId5" xr:uid="{00000000-0004-0000-0400-000004000000}"/>
    <hyperlink ref="C64" r:id="rId6" xr:uid="{00000000-0004-0000-0400-000005000000}"/>
    <hyperlink ref="C65" r:id="rId7" xr:uid="{00000000-0004-0000-0400-000006000000}"/>
    <hyperlink ref="C67" r:id="rId8" xr:uid="{00000000-0004-0000-0400-000007000000}"/>
    <hyperlink ref="C69" r:id="rId9" xr:uid="{00000000-0004-0000-0400-000008000000}"/>
    <hyperlink ref="C70" r:id="rId10" xr:uid="{00000000-0004-0000-0400-000009000000}"/>
    <hyperlink ref="C72" r:id="rId11" xr:uid="{00000000-0004-0000-0400-00000A000000}"/>
    <hyperlink ref="C73" r:id="rId12" xr:uid="{00000000-0004-0000-0400-00000B000000}"/>
    <hyperlink ref="C77" r:id="rId13" xr:uid="{00000000-0004-0000-0400-00000C000000}"/>
    <hyperlink ref="C79" r:id="rId14" xr:uid="{00000000-0004-0000-0400-00000D000000}"/>
    <hyperlink ref="B89" r:id="rId15" xr:uid="{00000000-0004-0000-0400-00000E000000}"/>
    <hyperlink ref="B94" r:id="rId16" xr:uid="{00000000-0004-0000-0400-00000F000000}"/>
    <hyperlink ref="C97" r:id="rId17" xr:uid="{00000000-0004-0000-0400-000010000000}"/>
    <hyperlink ref="C104" r:id="rId18" xr:uid="{00000000-0004-0000-0400-000011000000}"/>
    <hyperlink ref="C105" r:id="rId19" display="2. Verifique o domínio do Facebook - 👨‍🏫 Aula de verificação do Domínimo da sua Página no Facebook" xr:uid="{00000000-0004-0000-0400-000012000000}"/>
    <hyperlink ref="C106" r:id="rId20" xr:uid="{00000000-0004-0000-0400-000013000000}"/>
    <hyperlink ref="C108" r:id="rId21" xr:uid="{00000000-0004-0000-0400-000014000000}"/>
    <hyperlink ref="C134" r:id="rId22" xr:uid="{00000000-0004-0000-0400-000015000000}"/>
  </hyperlinks>
  <pageMargins left="0.511811024" right="0.511811024" top="0.78740157499999996" bottom="0.78740157499999996" header="0.31496062000000002" footer="0.31496062000000002"/>
  <legacyDrawing r:id="rId2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4C2F4"/>
    <outlinePr summaryBelow="0" summaryRight="0"/>
    <pageSetUpPr fitToPage="1"/>
  </sheetPr>
  <dimension ref="A1:G206"/>
  <sheetViews>
    <sheetView workbookViewId="0">
      <pane ySplit="6" topLeftCell="A7" activePane="bottomLeft" state="frozen"/>
      <selection pane="bottomLeft" activeCell="B8" sqref="B8"/>
    </sheetView>
  </sheetViews>
  <sheetFormatPr defaultColWidth="12.59765625" defaultRowHeight="15.75" customHeight="1"/>
  <cols>
    <col min="1" max="1" width="4.3984375" customWidth="1"/>
    <col min="2" max="2" width="3.86328125" customWidth="1"/>
    <col min="3" max="3" width="61.1328125" customWidth="1"/>
    <col min="4" max="5" width="4.3984375" customWidth="1"/>
    <col min="6" max="6" width="61.1328125" customWidth="1"/>
    <col min="7" max="7" width="4.3984375" customWidth="1"/>
  </cols>
  <sheetData>
    <row r="1" spans="1:7" ht="41.25" customHeight="1">
      <c r="A1" s="805" t="str">
        <f>CONCATENATE("Lançamento - ",TEXT(SUMÁRIO!$D$7-7,"DD/MM")," até ",TEXT(SUMÁRIO!$D$7-3,"DD/MM"),)</f>
        <v>Lançamento - 17/02 até 21/02</v>
      </c>
      <c r="B1" s="339"/>
      <c r="C1" s="339"/>
      <c r="D1" s="339"/>
      <c r="E1" s="339"/>
      <c r="F1" s="339"/>
      <c r="G1" s="340"/>
    </row>
    <row r="2" spans="1:7" ht="16.5" customHeight="1">
      <c r="A2" s="636" t="s">
        <v>44</v>
      </c>
      <c r="B2" s="339"/>
      <c r="C2" s="339"/>
      <c r="D2" s="339"/>
      <c r="E2" s="339"/>
      <c r="F2" s="339"/>
      <c r="G2" s="340"/>
    </row>
    <row r="3" spans="1:7" ht="6" customHeight="1">
      <c r="A3" s="139"/>
      <c r="B3" s="455">
        <f>(COUNTIF(B7:B206,TRUE)+COUNTIF(G:G,TRUE))/22</f>
        <v>0</v>
      </c>
      <c r="C3" s="20"/>
      <c r="D3" s="21"/>
      <c r="E3" s="21"/>
      <c r="F3" s="21"/>
      <c r="G3" s="21"/>
    </row>
    <row r="4" spans="1:7" ht="6" customHeight="1">
      <c r="A4" s="139"/>
      <c r="B4" s="456"/>
      <c r="C4" s="458" t="str">
        <f ca="1">IFERROR(__xludf.DUMMYFUNCTION("SPARKLINE(B3,{""charttype"",""bar"";""color1"",""#38a036"";""max"",1})"),"")</f>
        <v/>
      </c>
      <c r="D4" s="339"/>
      <c r="E4" s="339"/>
      <c r="F4" s="340"/>
      <c r="G4" s="140"/>
    </row>
    <row r="5" spans="1:7" ht="6" customHeight="1">
      <c r="A5" s="139"/>
      <c r="B5" s="457"/>
      <c r="C5" s="26"/>
      <c r="D5" s="140"/>
      <c r="E5" s="140"/>
      <c r="F5" s="140"/>
      <c r="G5" s="140"/>
    </row>
    <row r="6" spans="1:7" ht="6" customHeight="1">
      <c r="A6" s="139"/>
      <c r="B6" s="93"/>
      <c r="C6" s="20"/>
      <c r="D6" s="21"/>
      <c r="E6" s="21"/>
      <c r="F6" s="21"/>
      <c r="G6" s="21"/>
    </row>
    <row r="7" spans="1:7" ht="15" customHeight="1">
      <c r="A7" s="286"/>
      <c r="B7" s="806"/>
      <c r="C7" s="342"/>
      <c r="D7" s="343"/>
      <c r="E7" s="28"/>
      <c r="F7" s="28"/>
      <c r="G7" s="30"/>
    </row>
    <row r="8" spans="1:7" ht="22.5" customHeight="1">
      <c r="A8" s="286"/>
      <c r="B8" s="94"/>
      <c r="C8" s="489" t="s">
        <v>161</v>
      </c>
      <c r="D8" s="353"/>
      <c r="E8" s="353"/>
      <c r="F8" s="353"/>
      <c r="G8" s="287"/>
    </row>
    <row r="9" spans="1:7" ht="15.4">
      <c r="A9" s="286"/>
      <c r="B9" s="490" t="s">
        <v>497</v>
      </c>
      <c r="C9" s="394"/>
      <c r="D9" s="394"/>
      <c r="E9" s="394"/>
      <c r="F9" s="394"/>
      <c r="G9" s="287"/>
    </row>
    <row r="10" spans="1:7" ht="18.75" customHeight="1">
      <c r="A10" s="286"/>
      <c r="B10" s="807" t="s">
        <v>498</v>
      </c>
      <c r="C10" s="394"/>
      <c r="D10" s="394"/>
      <c r="E10" s="394"/>
      <c r="F10" s="394"/>
      <c r="G10" s="287"/>
    </row>
    <row r="11" spans="1:7" ht="11.25" customHeight="1">
      <c r="A11" s="286"/>
      <c r="B11" s="808"/>
      <c r="C11" s="353"/>
      <c r="D11" s="353"/>
      <c r="E11" s="353"/>
      <c r="F11" s="353"/>
      <c r="G11" s="287"/>
    </row>
    <row r="12" spans="1:7" ht="18.75" customHeight="1">
      <c r="A12" s="286"/>
      <c r="B12" s="642"/>
      <c r="C12" s="353"/>
      <c r="D12" s="353"/>
      <c r="E12" s="353"/>
      <c r="F12" s="353"/>
      <c r="G12" s="287"/>
    </row>
    <row r="13" spans="1:7" ht="22.5" customHeight="1">
      <c r="A13" s="286"/>
      <c r="B13" s="95" t="s">
        <v>101</v>
      </c>
      <c r="C13" s="459" t="s">
        <v>499</v>
      </c>
      <c r="D13" s="353"/>
      <c r="E13" s="353"/>
      <c r="F13" s="353"/>
      <c r="G13" s="287"/>
    </row>
    <row r="14" spans="1:7" ht="18.75" customHeight="1">
      <c r="A14" s="286"/>
      <c r="B14" s="643" t="s">
        <v>500</v>
      </c>
      <c r="C14" s="353"/>
      <c r="D14" s="353"/>
      <c r="E14" s="353"/>
      <c r="F14" s="353"/>
      <c r="G14" s="287"/>
    </row>
    <row r="15" spans="1:7" ht="18.75" customHeight="1">
      <c r="A15" s="286"/>
      <c r="B15" s="35">
        <v>1</v>
      </c>
      <c r="C15" s="38" t="s">
        <v>501</v>
      </c>
      <c r="D15" s="809" t="s">
        <v>48</v>
      </c>
      <c r="E15" s="415"/>
      <c r="F15" s="161" t="s">
        <v>502</v>
      </c>
      <c r="G15" s="287"/>
    </row>
    <row r="16" spans="1:7" ht="11.25" customHeight="1">
      <c r="A16" s="286"/>
      <c r="B16" s="508"/>
      <c r="C16" s="353"/>
      <c r="D16" s="353"/>
      <c r="E16" s="353"/>
      <c r="F16" s="353"/>
      <c r="G16" s="287"/>
    </row>
    <row r="17" spans="1:7" ht="18.75" customHeight="1">
      <c r="A17" s="286"/>
      <c r="B17" s="501"/>
      <c r="C17" s="353"/>
      <c r="D17" s="353"/>
      <c r="E17" s="353"/>
      <c r="F17" s="353"/>
      <c r="G17" s="287"/>
    </row>
    <row r="18" spans="1:7" ht="22.5" customHeight="1">
      <c r="A18" s="286"/>
      <c r="B18" s="31" t="s">
        <v>45</v>
      </c>
      <c r="C18" s="459" t="s">
        <v>46</v>
      </c>
      <c r="D18" s="353"/>
      <c r="E18" s="353"/>
      <c r="F18" s="353"/>
      <c r="G18" s="287"/>
    </row>
    <row r="19" spans="1:7" ht="25.5">
      <c r="A19" s="286"/>
      <c r="B19" s="462" t="s">
        <v>503</v>
      </c>
      <c r="C19" s="402"/>
      <c r="D19" s="631" t="s">
        <v>48</v>
      </c>
      <c r="E19" s="172">
        <v>1</v>
      </c>
      <c r="F19" s="288" t="s">
        <v>504</v>
      </c>
      <c r="G19" s="287"/>
    </row>
    <row r="20" spans="1:7" ht="18.75" customHeight="1">
      <c r="A20" s="286"/>
      <c r="B20" s="353"/>
      <c r="C20" s="353"/>
      <c r="D20" s="353"/>
      <c r="E20" s="35">
        <v>2</v>
      </c>
      <c r="F20" s="41" t="s">
        <v>505</v>
      </c>
      <c r="G20" s="176"/>
    </row>
    <row r="21" spans="1:7" ht="18.75" customHeight="1">
      <c r="A21" s="286"/>
      <c r="B21" s="353"/>
      <c r="C21" s="353"/>
      <c r="D21" s="353"/>
      <c r="E21" s="35">
        <v>3</v>
      </c>
      <c r="F21" s="38" t="s">
        <v>506</v>
      </c>
      <c r="G21" s="30"/>
    </row>
    <row r="22" spans="1:7" ht="11.25" customHeight="1">
      <c r="A22" s="286"/>
      <c r="B22" s="508"/>
      <c r="C22" s="353"/>
      <c r="D22" s="353"/>
      <c r="E22" s="353"/>
      <c r="F22" s="353"/>
      <c r="G22" s="30"/>
    </row>
    <row r="23" spans="1:7" ht="18.75" customHeight="1">
      <c r="A23" s="27"/>
      <c r="B23" s="810"/>
      <c r="C23" s="353"/>
      <c r="D23" s="353"/>
      <c r="E23" s="353"/>
      <c r="F23" s="353"/>
      <c r="G23" s="289"/>
    </row>
    <row r="24" spans="1:7" ht="22.5" customHeight="1">
      <c r="A24" s="290"/>
      <c r="B24" s="665" t="str">
        <f>CONCATENATE(TEXT(SUMÁRIO!D7-7,"DD")," de ",TEXT(SUMÁRIO!D7-7,"MMMM")," - Abertura CPL 1")</f>
        <v>17 de fevereiro - Abertura CPL 1</v>
      </c>
      <c r="C24" s="594"/>
      <c r="D24" s="594"/>
      <c r="E24" s="594"/>
      <c r="F24" s="595"/>
      <c r="G24" s="291"/>
    </row>
    <row r="25" spans="1:7" ht="18.75" customHeight="1">
      <c r="A25" s="27"/>
      <c r="B25" s="811" t="s">
        <v>507</v>
      </c>
      <c r="C25" s="394"/>
      <c r="D25" s="394"/>
      <c r="E25" s="394"/>
      <c r="F25" s="396"/>
      <c r="G25" s="292"/>
    </row>
    <row r="26" spans="1:7" ht="11.25" customHeight="1">
      <c r="A26" s="27"/>
      <c r="B26" s="617"/>
      <c r="C26" s="468"/>
      <c r="D26" s="468"/>
      <c r="E26" s="468"/>
      <c r="F26" s="468"/>
      <c r="G26" s="292"/>
    </row>
    <row r="27" spans="1:7" ht="18.75" customHeight="1">
      <c r="A27" s="27"/>
      <c r="B27" s="812" t="s">
        <v>508</v>
      </c>
      <c r="C27" s="345"/>
      <c r="D27" s="346"/>
      <c r="E27" s="813" t="s">
        <v>509</v>
      </c>
      <c r="F27" s="346"/>
      <c r="G27" s="292"/>
    </row>
    <row r="28" spans="1:7" ht="18.75" customHeight="1">
      <c r="A28" s="27"/>
      <c r="B28" s="128" t="b">
        <v>0</v>
      </c>
      <c r="C28" s="425" t="s">
        <v>510</v>
      </c>
      <c r="D28" s="345"/>
      <c r="E28" s="345"/>
      <c r="F28" s="346"/>
      <c r="G28" s="292"/>
    </row>
    <row r="29" spans="1:7" ht="18.75" customHeight="1">
      <c r="A29" s="27"/>
      <c r="B29" s="814" t="s">
        <v>511</v>
      </c>
      <c r="C29" s="345"/>
      <c r="D29" s="345"/>
      <c r="E29" s="345"/>
      <c r="F29" s="346"/>
      <c r="G29" s="292"/>
    </row>
    <row r="30" spans="1:7" ht="11.25" customHeight="1">
      <c r="A30" s="27"/>
      <c r="B30" s="815"/>
      <c r="C30" s="345"/>
      <c r="D30" s="345"/>
      <c r="E30" s="345"/>
      <c r="F30" s="346"/>
      <c r="G30" s="292"/>
    </row>
    <row r="31" spans="1:7" ht="18.75" customHeight="1">
      <c r="A31" s="27"/>
      <c r="B31" s="816" t="s">
        <v>512</v>
      </c>
      <c r="C31" s="345"/>
      <c r="D31" s="345"/>
      <c r="E31" s="345"/>
      <c r="F31" s="346"/>
      <c r="G31" s="292"/>
    </row>
    <row r="32" spans="1:7" ht="18.75" customHeight="1">
      <c r="A32" s="27"/>
      <c r="B32" s="812" t="s">
        <v>513</v>
      </c>
      <c r="C32" s="345"/>
      <c r="D32" s="346"/>
      <c r="E32" s="813" t="s">
        <v>381</v>
      </c>
      <c r="F32" s="346"/>
      <c r="G32" s="292"/>
    </row>
    <row r="33" spans="1:7" ht="18.75" customHeight="1">
      <c r="A33" s="27"/>
      <c r="B33" s="128" t="b">
        <v>0</v>
      </c>
      <c r="C33" s="485" t="s">
        <v>514</v>
      </c>
      <c r="D33" s="346"/>
      <c r="E33" s="817">
        <f>SUMÁRIO!$D$7-7</f>
        <v>45705</v>
      </c>
      <c r="F33" s="346"/>
      <c r="G33" s="292"/>
    </row>
    <row r="34" spans="1:7" ht="18.75" customHeight="1">
      <c r="A34" s="27"/>
      <c r="B34" s="128" t="b">
        <v>0</v>
      </c>
      <c r="C34" s="485" t="s">
        <v>515</v>
      </c>
      <c r="D34" s="346"/>
      <c r="E34" s="817">
        <f>E33+1</f>
        <v>45706</v>
      </c>
      <c r="F34" s="346"/>
      <c r="G34" s="292"/>
    </row>
    <row r="35" spans="1:7" ht="18.75" customHeight="1">
      <c r="A35" s="27"/>
      <c r="B35" s="812" t="s">
        <v>516</v>
      </c>
      <c r="C35" s="345"/>
      <c r="D35" s="346"/>
      <c r="E35" s="818" t="s">
        <v>381</v>
      </c>
      <c r="F35" s="346"/>
      <c r="G35" s="292"/>
    </row>
    <row r="36" spans="1:7" ht="18.75" customHeight="1">
      <c r="A36" s="27"/>
      <c r="B36" s="128" t="b">
        <v>0</v>
      </c>
      <c r="C36" s="485" t="s">
        <v>392</v>
      </c>
      <c r="D36" s="346"/>
      <c r="E36" s="817">
        <f>SUMÁRIO!$D$7-7</f>
        <v>45705</v>
      </c>
      <c r="F36" s="346"/>
      <c r="G36" s="292"/>
    </row>
    <row r="37" spans="1:7" ht="18.75" customHeight="1">
      <c r="A37" s="27"/>
      <c r="B37" s="128" t="b">
        <v>0</v>
      </c>
      <c r="C37" s="485" t="s">
        <v>393</v>
      </c>
      <c r="D37" s="346"/>
      <c r="E37" s="817">
        <f>SUMÁRIO!$D$7-7</f>
        <v>45705</v>
      </c>
      <c r="F37" s="346"/>
      <c r="G37" s="292"/>
    </row>
    <row r="38" spans="1:7" ht="18.75" customHeight="1">
      <c r="A38" s="27"/>
      <c r="B38" s="128" t="b">
        <v>0</v>
      </c>
      <c r="C38" s="485" t="s">
        <v>394</v>
      </c>
      <c r="D38" s="346"/>
      <c r="E38" s="817">
        <f t="shared" ref="E38:E39" si="0">E36+1</f>
        <v>45706</v>
      </c>
      <c r="F38" s="346"/>
      <c r="G38" s="292"/>
    </row>
    <row r="39" spans="1:7" ht="18.75" customHeight="1">
      <c r="A39" s="27"/>
      <c r="B39" s="128" t="b">
        <v>0</v>
      </c>
      <c r="C39" s="485" t="s">
        <v>395</v>
      </c>
      <c r="D39" s="346"/>
      <c r="E39" s="817">
        <f t="shared" si="0"/>
        <v>45706</v>
      </c>
      <c r="F39" s="346"/>
      <c r="G39" s="292"/>
    </row>
    <row r="40" spans="1:7" ht="11.25" customHeight="1">
      <c r="A40" s="27"/>
      <c r="B40" s="819"/>
      <c r="C40" s="353"/>
      <c r="D40" s="353"/>
      <c r="E40" s="353"/>
      <c r="F40" s="353"/>
      <c r="G40" s="292"/>
    </row>
    <row r="41" spans="1:7" ht="18.75" customHeight="1">
      <c r="A41" s="27"/>
      <c r="B41" s="612"/>
      <c r="C41" s="353"/>
      <c r="D41" s="353"/>
      <c r="E41" s="353"/>
      <c r="F41" s="353"/>
      <c r="G41" s="289"/>
    </row>
    <row r="42" spans="1:7" ht="22.5" customHeight="1">
      <c r="A42" s="27"/>
      <c r="B42" s="820" t="str">
        <f>CONCATENATE(TEXT(SUMÁRIO!D7-7,"DD")," de ",TEXT(SUMÁRIO!D7-7,"MMMM")," -  Remarketing de CPL")</f>
        <v>17 de fevereiro -  Remarketing de CPL</v>
      </c>
      <c r="C42" s="353"/>
      <c r="D42" s="353"/>
      <c r="E42" s="353"/>
      <c r="F42" s="353"/>
      <c r="G42" s="289"/>
    </row>
    <row r="43" spans="1:7" ht="18.75" customHeight="1">
      <c r="A43" s="27"/>
      <c r="B43" s="214" t="s">
        <v>226</v>
      </c>
      <c r="C43" s="669" t="s">
        <v>517</v>
      </c>
      <c r="D43" s="353"/>
      <c r="E43" s="353"/>
      <c r="F43" s="360"/>
      <c r="G43" s="289"/>
    </row>
    <row r="44" spans="1:7" ht="18.75" customHeight="1">
      <c r="A44" s="27"/>
      <c r="B44" s="128" t="b">
        <v>0</v>
      </c>
      <c r="C44" s="579" t="s">
        <v>518</v>
      </c>
      <c r="D44" s="345"/>
      <c r="E44" s="345"/>
      <c r="F44" s="346"/>
      <c r="G44" s="289"/>
    </row>
    <row r="45" spans="1:7" ht="11.25" customHeight="1">
      <c r="A45" s="27"/>
      <c r="B45" s="821"/>
      <c r="C45" s="353"/>
      <c r="D45" s="353"/>
      <c r="E45" s="353"/>
      <c r="F45" s="353"/>
      <c r="G45" s="289"/>
    </row>
    <row r="46" spans="1:7" ht="18.75" customHeight="1">
      <c r="A46" s="27"/>
      <c r="B46" s="822"/>
      <c r="C46" s="353"/>
      <c r="D46" s="353"/>
      <c r="E46" s="353"/>
      <c r="F46" s="353"/>
      <c r="G46" s="292"/>
    </row>
    <row r="47" spans="1:7" ht="22.5" customHeight="1">
      <c r="A47" s="290"/>
      <c r="B47" s="823" t="str">
        <f>CONCATENATE(TEXT(SUMÁRIO!D7-7,"DD")," de ",TEXT(SUMÁRIO!D7-7,"MMMM")," -  Criar e Agendar Notificações de Lançamento")</f>
        <v>17 de fevereiro -  Criar e Agendar Notificações de Lançamento</v>
      </c>
      <c r="C47" s="594"/>
      <c r="D47" s="594"/>
      <c r="E47" s="594"/>
      <c r="F47" s="595"/>
      <c r="G47" s="293"/>
    </row>
    <row r="48" spans="1:7" ht="18.75" customHeight="1">
      <c r="A48" s="27"/>
      <c r="B48" s="294" t="s">
        <v>184</v>
      </c>
      <c r="C48" s="824" t="s">
        <v>519</v>
      </c>
      <c r="D48" s="353"/>
      <c r="E48" s="353"/>
      <c r="F48" s="353"/>
      <c r="G48" s="292"/>
    </row>
    <row r="49" spans="1:7" ht="11.25" customHeight="1">
      <c r="A49" s="27"/>
      <c r="B49" s="825"/>
      <c r="C49" s="353"/>
      <c r="D49" s="353"/>
      <c r="E49" s="353"/>
      <c r="F49" s="353"/>
      <c r="G49" s="292"/>
    </row>
    <row r="50" spans="1:7" ht="18.75" customHeight="1">
      <c r="A50" s="27"/>
      <c r="B50" s="826" t="s">
        <v>379</v>
      </c>
      <c r="C50" s="353"/>
      <c r="D50" s="353"/>
      <c r="E50" s="353"/>
      <c r="F50" s="353"/>
      <c r="G50" s="292"/>
    </row>
    <row r="51" spans="1:7" ht="18.75" customHeight="1">
      <c r="A51" s="27"/>
      <c r="B51" s="295" t="s">
        <v>184</v>
      </c>
      <c r="C51" s="824" t="s">
        <v>520</v>
      </c>
      <c r="D51" s="353"/>
      <c r="E51" s="353"/>
      <c r="F51" s="353"/>
      <c r="G51" s="292"/>
    </row>
    <row r="52" spans="1:7" ht="18.75" customHeight="1">
      <c r="A52" s="27"/>
      <c r="B52" s="557" t="s">
        <v>521</v>
      </c>
      <c r="C52" s="353"/>
      <c r="D52" s="353"/>
      <c r="E52" s="827" t="s">
        <v>522</v>
      </c>
      <c r="F52" s="353"/>
      <c r="G52" s="292"/>
    </row>
    <row r="53" spans="1:7" ht="18.75" customHeight="1">
      <c r="A53" s="27"/>
      <c r="B53" s="296" t="b">
        <v>0</v>
      </c>
      <c r="C53" s="426" t="s">
        <v>523</v>
      </c>
      <c r="D53" s="346"/>
      <c r="E53" s="828">
        <f>SUMÁRIO!$D$7</f>
        <v>45712</v>
      </c>
      <c r="F53" s="346"/>
      <c r="G53" s="292"/>
    </row>
    <row r="54" spans="1:7" ht="18.75" customHeight="1">
      <c r="A54" s="27"/>
      <c r="B54" s="296" t="b">
        <v>0</v>
      </c>
      <c r="C54" s="426" t="s">
        <v>524</v>
      </c>
      <c r="D54" s="346"/>
      <c r="E54" s="828">
        <f>SUMÁRIO!$D$7</f>
        <v>45712</v>
      </c>
      <c r="F54" s="346"/>
      <c r="G54" s="292"/>
    </row>
    <row r="55" spans="1:7" ht="18.75" customHeight="1">
      <c r="A55" s="27"/>
      <c r="B55" s="296" t="b">
        <v>0</v>
      </c>
      <c r="C55" s="426" t="s">
        <v>525</v>
      </c>
      <c r="D55" s="346"/>
      <c r="E55" s="828">
        <f>SUMÁRIO!$D$7</f>
        <v>45712</v>
      </c>
      <c r="F55" s="346"/>
      <c r="G55" s="292"/>
    </row>
    <row r="56" spans="1:7" ht="18.75" customHeight="1">
      <c r="A56" s="27"/>
      <c r="B56" s="296" t="b">
        <v>0</v>
      </c>
      <c r="C56" s="426" t="s">
        <v>526</v>
      </c>
      <c r="D56" s="346"/>
      <c r="E56" s="828">
        <f>E53+1</f>
        <v>45713</v>
      </c>
      <c r="F56" s="346"/>
      <c r="G56" s="292"/>
    </row>
    <row r="57" spans="1:7" ht="18.75" customHeight="1">
      <c r="A57" s="27"/>
      <c r="B57" s="296" t="b">
        <v>0</v>
      </c>
      <c r="C57" s="426" t="s">
        <v>527</v>
      </c>
      <c r="D57" s="346"/>
      <c r="E57" s="828">
        <f t="shared" ref="E57:E59" si="1">E56+1</f>
        <v>45714</v>
      </c>
      <c r="F57" s="346"/>
      <c r="G57" s="292"/>
    </row>
    <row r="58" spans="1:7" ht="18.75" customHeight="1">
      <c r="A58" s="27"/>
      <c r="B58" s="296" t="b">
        <v>0</v>
      </c>
      <c r="C58" s="426" t="s">
        <v>528</v>
      </c>
      <c r="D58" s="346"/>
      <c r="E58" s="828">
        <f t="shared" si="1"/>
        <v>45715</v>
      </c>
      <c r="F58" s="346"/>
      <c r="G58" s="292"/>
    </row>
    <row r="59" spans="1:7" ht="18.75" customHeight="1">
      <c r="A59" s="27"/>
      <c r="B59" s="296" t="b">
        <v>0</v>
      </c>
      <c r="C59" s="426" t="s">
        <v>529</v>
      </c>
      <c r="D59" s="346"/>
      <c r="E59" s="828">
        <f t="shared" si="1"/>
        <v>45716</v>
      </c>
      <c r="F59" s="346"/>
      <c r="G59" s="292"/>
    </row>
    <row r="60" spans="1:7" ht="18.75" customHeight="1">
      <c r="A60" s="27"/>
      <c r="B60" s="296" t="b">
        <v>0</v>
      </c>
      <c r="C60" s="426" t="s">
        <v>530</v>
      </c>
      <c r="D60" s="346"/>
      <c r="E60" s="828">
        <f>E58+1</f>
        <v>45716</v>
      </c>
      <c r="F60" s="346"/>
      <c r="G60" s="292"/>
    </row>
    <row r="61" spans="1:7" ht="11.25" customHeight="1">
      <c r="A61" s="27"/>
      <c r="B61" s="829"/>
      <c r="C61" s="599"/>
      <c r="D61" s="599"/>
      <c r="E61" s="599"/>
      <c r="F61" s="600"/>
      <c r="G61" s="292"/>
    </row>
    <row r="62" spans="1:7" ht="18.75" customHeight="1">
      <c r="A62" s="298"/>
      <c r="B62" s="830" t="s">
        <v>531</v>
      </c>
      <c r="C62" s="599"/>
      <c r="D62" s="599"/>
      <c r="E62" s="599"/>
      <c r="F62" s="600"/>
      <c r="G62" s="299"/>
    </row>
    <row r="63" spans="1:7" ht="18.75" customHeight="1">
      <c r="A63" s="298"/>
      <c r="B63" s="830" t="s">
        <v>532</v>
      </c>
      <c r="C63" s="599"/>
      <c r="D63" s="600"/>
      <c r="E63" s="831" t="s">
        <v>522</v>
      </c>
      <c r="F63" s="584"/>
      <c r="G63" s="299"/>
    </row>
    <row r="64" spans="1:7" ht="18.75" customHeight="1">
      <c r="A64" s="298"/>
      <c r="B64" s="296" t="b">
        <v>0</v>
      </c>
      <c r="C64" s="575" t="s">
        <v>523</v>
      </c>
      <c r="D64" s="346"/>
      <c r="E64" s="817">
        <f>SUMÁRIO!$D$7</f>
        <v>45712</v>
      </c>
      <c r="F64" s="346"/>
      <c r="G64" s="299"/>
    </row>
    <row r="65" spans="1:7" ht="18.75" customHeight="1">
      <c r="A65" s="298"/>
      <c r="B65" s="296" t="b">
        <v>0</v>
      </c>
      <c r="C65" s="575" t="s">
        <v>524</v>
      </c>
      <c r="D65" s="346"/>
      <c r="E65" s="817">
        <f>SUMÁRIO!$D$7</f>
        <v>45712</v>
      </c>
      <c r="F65" s="346"/>
      <c r="G65" s="299"/>
    </row>
    <row r="66" spans="1:7" ht="18.75" customHeight="1">
      <c r="A66" s="298"/>
      <c r="B66" s="296" t="b">
        <v>0</v>
      </c>
      <c r="C66" s="575" t="s">
        <v>525</v>
      </c>
      <c r="D66" s="346"/>
      <c r="E66" s="817">
        <f>SUMÁRIO!$D$7</f>
        <v>45712</v>
      </c>
      <c r="F66" s="346"/>
      <c r="G66" s="299"/>
    </row>
    <row r="67" spans="1:7" ht="18.75" customHeight="1">
      <c r="A67" s="298"/>
      <c r="B67" s="296" t="b">
        <v>0</v>
      </c>
      <c r="C67" s="575" t="s">
        <v>526</v>
      </c>
      <c r="D67" s="346"/>
      <c r="E67" s="817">
        <f t="shared" ref="E67:E68" si="2">E64+1</f>
        <v>45713</v>
      </c>
      <c r="F67" s="346"/>
      <c r="G67" s="299"/>
    </row>
    <row r="68" spans="1:7" ht="18.75" customHeight="1">
      <c r="A68" s="298"/>
      <c r="B68" s="296" t="b">
        <v>0</v>
      </c>
      <c r="C68" s="575" t="s">
        <v>533</v>
      </c>
      <c r="D68" s="346"/>
      <c r="E68" s="817">
        <f t="shared" si="2"/>
        <v>45713</v>
      </c>
      <c r="F68" s="346"/>
      <c r="G68" s="299"/>
    </row>
    <row r="69" spans="1:7" ht="18.75" customHeight="1">
      <c r="A69" s="298"/>
      <c r="B69" s="296" t="b">
        <v>0</v>
      </c>
      <c r="C69" s="575" t="s">
        <v>527</v>
      </c>
      <c r="D69" s="346"/>
      <c r="E69" s="817">
        <f>E67+1</f>
        <v>45714</v>
      </c>
      <c r="F69" s="346"/>
      <c r="G69" s="299"/>
    </row>
    <row r="70" spans="1:7" ht="18.75" customHeight="1">
      <c r="A70" s="298"/>
      <c r="B70" s="296" t="b">
        <v>0</v>
      </c>
      <c r="C70" s="575" t="s">
        <v>528</v>
      </c>
      <c r="D70" s="346"/>
      <c r="E70" s="817">
        <f t="shared" ref="E70:E71" si="3">E69+1</f>
        <v>45715</v>
      </c>
      <c r="F70" s="346"/>
      <c r="G70" s="299"/>
    </row>
    <row r="71" spans="1:7" ht="18.75" customHeight="1">
      <c r="A71" s="298"/>
      <c r="B71" s="296" t="b">
        <v>0</v>
      </c>
      <c r="C71" s="575" t="s">
        <v>529</v>
      </c>
      <c r="D71" s="346"/>
      <c r="E71" s="817">
        <f t="shared" si="3"/>
        <v>45716</v>
      </c>
      <c r="F71" s="346"/>
      <c r="G71" s="299"/>
    </row>
    <row r="72" spans="1:7" ht="18.75" customHeight="1">
      <c r="A72" s="298"/>
      <c r="B72" s="296" t="b">
        <v>0</v>
      </c>
      <c r="C72" s="575" t="s">
        <v>530</v>
      </c>
      <c r="D72" s="346"/>
      <c r="E72" s="817">
        <f>E70+1</f>
        <v>45716</v>
      </c>
      <c r="F72" s="346"/>
      <c r="G72" s="299"/>
    </row>
    <row r="73" spans="1:7" ht="11.25" customHeight="1">
      <c r="A73" s="27"/>
      <c r="B73" s="825"/>
      <c r="C73" s="353"/>
      <c r="D73" s="353"/>
      <c r="E73" s="353"/>
      <c r="F73" s="353"/>
      <c r="G73" s="292"/>
    </row>
    <row r="74" spans="1:7" ht="18.75" customHeight="1">
      <c r="A74" s="27"/>
      <c r="B74" s="810"/>
      <c r="C74" s="353"/>
      <c r="D74" s="353"/>
      <c r="E74" s="353"/>
      <c r="F74" s="353"/>
      <c r="G74" s="289"/>
    </row>
    <row r="75" spans="1:7" ht="18.75" customHeight="1">
      <c r="A75" s="27"/>
      <c r="B75" s="820" t="str">
        <f>CONCATENATE(TEXT(SUMÁRIO!D7-7,"DD")," de ",TEXT(SUMÁRIO!D7-7,"MMMM")," - Conteúdo")</f>
        <v>17 de fevereiro - Conteúdo</v>
      </c>
      <c r="C75" s="353"/>
      <c r="D75" s="353"/>
      <c r="E75" s="353"/>
      <c r="F75" s="353"/>
      <c r="G75" s="289"/>
    </row>
    <row r="76" spans="1:7" ht="18.75" customHeight="1">
      <c r="A76" s="27"/>
      <c r="B76" s="214" t="s">
        <v>226</v>
      </c>
      <c r="C76" s="832" t="s">
        <v>534</v>
      </c>
      <c r="D76" s="353"/>
      <c r="E76" s="353"/>
      <c r="F76" s="353"/>
      <c r="G76" s="289"/>
    </row>
    <row r="77" spans="1:7" ht="11.25" customHeight="1">
      <c r="A77" s="27"/>
      <c r="B77" s="833"/>
      <c r="C77" s="345"/>
      <c r="D77" s="345"/>
      <c r="E77" s="345"/>
      <c r="F77" s="346"/>
      <c r="G77" s="289"/>
    </row>
    <row r="78" spans="1:7" ht="18.75" customHeight="1">
      <c r="A78" s="27"/>
      <c r="B78" s="300" t="b">
        <v>0</v>
      </c>
      <c r="C78" s="485" t="s">
        <v>535</v>
      </c>
      <c r="D78" s="345"/>
      <c r="E78" s="345"/>
      <c r="F78" s="346"/>
      <c r="G78" s="289"/>
    </row>
    <row r="79" spans="1:7" ht="18.75" customHeight="1">
      <c r="A79" s="27"/>
      <c r="B79" s="300" t="b">
        <v>0</v>
      </c>
      <c r="C79" s="598" t="s">
        <v>536</v>
      </c>
      <c r="D79" s="599"/>
      <c r="E79" s="599"/>
      <c r="F79" s="600"/>
      <c r="G79" s="289"/>
    </row>
    <row r="80" spans="1:7" ht="11.25" customHeight="1">
      <c r="A80" s="27"/>
      <c r="B80" s="833"/>
      <c r="C80" s="345"/>
      <c r="D80" s="345"/>
      <c r="E80" s="345"/>
      <c r="F80" s="346"/>
      <c r="G80" s="289"/>
    </row>
    <row r="81" spans="1:7" ht="18.75" customHeight="1">
      <c r="A81" s="27"/>
      <c r="B81" s="612"/>
      <c r="C81" s="353"/>
      <c r="D81" s="353"/>
      <c r="E81" s="353"/>
      <c r="F81" s="353"/>
      <c r="G81" s="289"/>
    </row>
    <row r="82" spans="1:7" ht="22.5" customHeight="1">
      <c r="A82" s="27"/>
      <c r="B82" s="613" t="str">
        <f>CONCATENATE(TEXT(SUMÁRIO!D7-6,"DD")," de ",TEXT(SUMÁRIO!D7-6,"MMMM")," - Planejamento da Live de Efeito Tsunami e Conteúdos de Carrinho Aberto")</f>
        <v>18 de fevereiro - Planejamento da Live de Efeito Tsunami e Conteúdos de Carrinho Aberto</v>
      </c>
      <c r="C82" s="594"/>
      <c r="D82" s="594"/>
      <c r="E82" s="594"/>
      <c r="F82" s="595"/>
      <c r="G82" s="289"/>
    </row>
    <row r="83" spans="1:7" ht="18.75" customHeight="1">
      <c r="A83" s="27"/>
      <c r="B83" s="228"/>
      <c r="C83" s="842" t="s">
        <v>373</v>
      </c>
      <c r="D83" s="353"/>
      <c r="E83" s="353"/>
      <c r="F83" s="353"/>
      <c r="G83" s="289"/>
    </row>
    <row r="84" spans="1:7" ht="11.25" customHeight="1">
      <c r="A84" s="27"/>
      <c r="B84" s="617"/>
      <c r="C84" s="468"/>
      <c r="D84" s="468"/>
      <c r="E84" s="468"/>
      <c r="F84" s="468"/>
      <c r="G84" s="289"/>
    </row>
    <row r="85" spans="1:7" ht="18.75" customHeight="1">
      <c r="A85" s="27"/>
      <c r="B85" s="557" t="s">
        <v>537</v>
      </c>
      <c r="C85" s="353"/>
      <c r="D85" s="353"/>
      <c r="E85" s="353"/>
      <c r="F85" s="353"/>
      <c r="G85" s="289"/>
    </row>
    <row r="86" spans="1:7" ht="15.4">
      <c r="A86" s="27"/>
      <c r="B86" s="843" t="s">
        <v>538</v>
      </c>
      <c r="C86" s="353"/>
      <c r="D86" s="353"/>
      <c r="E86" s="353"/>
      <c r="F86" s="353"/>
      <c r="G86" s="289"/>
    </row>
    <row r="87" spans="1:7" ht="11.25" customHeight="1">
      <c r="A87" s="27"/>
      <c r="B87" s="844"/>
      <c r="C87" s="353"/>
      <c r="D87" s="353"/>
      <c r="E87" s="353"/>
      <c r="F87" s="353"/>
      <c r="G87" s="289"/>
    </row>
    <row r="88" spans="1:7" ht="18.75" customHeight="1">
      <c r="A88" s="27"/>
      <c r="B88" s="845"/>
      <c r="C88" s="846" t="s">
        <v>539</v>
      </c>
      <c r="D88" s="403"/>
      <c r="E88" s="199" t="b">
        <v>0</v>
      </c>
      <c r="F88" s="71" t="s">
        <v>540</v>
      </c>
      <c r="G88" s="289"/>
    </row>
    <row r="89" spans="1:7" ht="18.75" customHeight="1">
      <c r="A89" s="27"/>
      <c r="B89" s="400"/>
      <c r="C89" s="847"/>
      <c r="D89" s="400"/>
      <c r="E89" s="199" t="b">
        <v>0</v>
      </c>
      <c r="F89" s="71" t="s">
        <v>541</v>
      </c>
      <c r="G89" s="289"/>
    </row>
    <row r="90" spans="1:7" ht="18.75" customHeight="1">
      <c r="A90" s="27"/>
      <c r="B90" s="301"/>
      <c r="C90" s="302" t="s">
        <v>542</v>
      </c>
      <c r="D90" s="302"/>
      <c r="E90" s="302"/>
      <c r="F90" s="303"/>
      <c r="G90" s="289"/>
    </row>
    <row r="91" spans="1:7" ht="11.25" customHeight="1">
      <c r="A91" s="27"/>
      <c r="B91" s="446"/>
      <c r="C91" s="353"/>
      <c r="D91" s="353"/>
      <c r="E91" s="353"/>
      <c r="F91" s="353"/>
      <c r="G91" s="289"/>
    </row>
    <row r="92" spans="1:7" ht="18.75" customHeight="1">
      <c r="A92" s="27"/>
      <c r="B92" s="557" t="s">
        <v>543</v>
      </c>
      <c r="C92" s="353"/>
      <c r="D92" s="353"/>
      <c r="E92" s="353"/>
      <c r="F92" s="353"/>
      <c r="G92" s="304"/>
    </row>
    <row r="93" spans="1:7" ht="12.75">
      <c r="A93" s="110"/>
      <c r="B93" s="848" t="s">
        <v>544</v>
      </c>
      <c r="C93" s="353"/>
      <c r="D93" s="353"/>
      <c r="E93" s="353"/>
      <c r="F93" s="353"/>
      <c r="G93" s="305"/>
    </row>
    <row r="94" spans="1:7" ht="11.25" customHeight="1">
      <c r="A94" s="27"/>
      <c r="B94" s="849"/>
      <c r="C94" s="345"/>
      <c r="D94" s="345"/>
      <c r="E94" s="345"/>
      <c r="F94" s="346"/>
      <c r="G94" s="30"/>
    </row>
    <row r="95" spans="1:7" ht="18.75" customHeight="1">
      <c r="A95" s="27"/>
      <c r="B95" s="128" t="b">
        <v>0</v>
      </c>
      <c r="C95" s="485" t="s">
        <v>545</v>
      </c>
      <c r="D95" s="345"/>
      <c r="E95" s="345"/>
      <c r="F95" s="346"/>
      <c r="G95" s="30"/>
    </row>
    <row r="96" spans="1:7" ht="18.75" customHeight="1">
      <c r="A96" s="27"/>
      <c r="B96" s="128"/>
      <c r="C96" s="850" t="s">
        <v>546</v>
      </c>
      <c r="D96" s="345"/>
      <c r="E96" s="345"/>
      <c r="F96" s="346"/>
      <c r="G96" s="289"/>
    </row>
    <row r="97" spans="1:7" ht="18.75" customHeight="1">
      <c r="A97" s="27"/>
      <c r="B97" s="306" t="b">
        <v>0</v>
      </c>
      <c r="C97" s="307" t="s">
        <v>547</v>
      </c>
      <c r="D97" s="485" t="s">
        <v>548</v>
      </c>
      <c r="E97" s="346"/>
      <c r="F97" s="71"/>
      <c r="G97" s="308"/>
    </row>
    <row r="98" spans="1:7" ht="18.75" customHeight="1">
      <c r="A98" s="27"/>
      <c r="B98" s="306" t="b">
        <v>0</v>
      </c>
      <c r="C98" s="307" t="s">
        <v>549</v>
      </c>
      <c r="D98" s="485" t="s">
        <v>548</v>
      </c>
      <c r="E98" s="346"/>
      <c r="F98" s="71"/>
      <c r="G98" s="308"/>
    </row>
    <row r="99" spans="1:7" ht="18.75" customHeight="1">
      <c r="A99" s="27"/>
      <c r="B99" s="306" t="b">
        <v>0</v>
      </c>
      <c r="C99" s="307" t="s">
        <v>550</v>
      </c>
      <c r="D99" s="485" t="s">
        <v>548</v>
      </c>
      <c r="E99" s="346"/>
      <c r="F99" s="71"/>
      <c r="G99" s="308"/>
    </row>
    <row r="100" spans="1:7" ht="11.25" customHeight="1">
      <c r="A100" s="27"/>
      <c r="B100" s="851"/>
      <c r="C100" s="345"/>
      <c r="D100" s="345"/>
      <c r="E100" s="345"/>
      <c r="F100" s="346"/>
      <c r="G100" s="292"/>
    </row>
    <row r="101" spans="1:7" ht="18.75" customHeight="1">
      <c r="A101" s="27"/>
      <c r="B101" s="557" t="s">
        <v>551</v>
      </c>
      <c r="C101" s="353"/>
      <c r="D101" s="353"/>
      <c r="E101" s="353"/>
      <c r="F101" s="353"/>
      <c r="G101" s="289"/>
    </row>
    <row r="102" spans="1:7" ht="15.4">
      <c r="A102" s="27"/>
      <c r="B102" s="852" t="s">
        <v>552</v>
      </c>
      <c r="C102" s="345"/>
      <c r="D102" s="345"/>
      <c r="E102" s="345"/>
      <c r="F102" s="346"/>
      <c r="G102" s="289"/>
    </row>
    <row r="103" spans="1:7" ht="11.25" customHeight="1">
      <c r="A103" s="27"/>
      <c r="B103" s="357"/>
      <c r="C103" s="345"/>
      <c r="D103" s="345"/>
      <c r="E103" s="345"/>
      <c r="F103" s="346"/>
      <c r="G103" s="289"/>
    </row>
    <row r="104" spans="1:7" ht="15.4">
      <c r="A104" s="27"/>
      <c r="B104" s="128" t="b">
        <v>0</v>
      </c>
      <c r="C104" s="618" t="s">
        <v>553</v>
      </c>
      <c r="D104" s="345"/>
      <c r="E104" s="345"/>
      <c r="F104" s="346"/>
      <c r="G104" s="289"/>
    </row>
    <row r="105" spans="1:7" ht="18.75" customHeight="1">
      <c r="A105" s="27"/>
      <c r="B105" s="69"/>
      <c r="C105" s="309" t="s">
        <v>554</v>
      </c>
      <c r="D105" s="853" t="s">
        <v>48</v>
      </c>
      <c r="E105" s="345"/>
      <c r="F105" s="310" t="s">
        <v>555</v>
      </c>
      <c r="G105" s="289"/>
    </row>
    <row r="106" spans="1:7" ht="18.75" customHeight="1">
      <c r="A106" s="27"/>
      <c r="B106" s="69"/>
      <c r="C106" s="309" t="s">
        <v>556</v>
      </c>
      <c r="D106" s="853" t="s">
        <v>48</v>
      </c>
      <c r="E106" s="346"/>
      <c r="F106" s="309" t="s">
        <v>557</v>
      </c>
      <c r="G106" s="289"/>
    </row>
    <row r="107" spans="1:7" ht="18.75" customHeight="1">
      <c r="A107" s="27"/>
      <c r="B107" s="69"/>
      <c r="C107" s="309" t="s">
        <v>558</v>
      </c>
      <c r="D107" s="853" t="s">
        <v>48</v>
      </c>
      <c r="E107" s="346"/>
      <c r="F107" s="309" t="s">
        <v>559</v>
      </c>
      <c r="G107" s="289"/>
    </row>
    <row r="108" spans="1:7" ht="18.75" customHeight="1">
      <c r="A108" s="27"/>
      <c r="B108" s="69"/>
      <c r="C108" s="309" t="s">
        <v>560</v>
      </c>
      <c r="D108" s="853" t="s">
        <v>48</v>
      </c>
      <c r="E108" s="346"/>
      <c r="F108" s="309" t="s">
        <v>561</v>
      </c>
      <c r="G108" s="289"/>
    </row>
    <row r="109" spans="1:7" ht="18.75" customHeight="1">
      <c r="A109" s="27"/>
      <c r="B109" s="69"/>
      <c r="C109" s="309" t="s">
        <v>562</v>
      </c>
      <c r="D109" s="853" t="s">
        <v>48</v>
      </c>
      <c r="E109" s="346"/>
      <c r="F109" s="309" t="s">
        <v>563</v>
      </c>
      <c r="G109" s="289"/>
    </row>
    <row r="110" spans="1:7" ht="11.25" customHeight="1">
      <c r="A110" s="27"/>
      <c r="B110" s="357"/>
      <c r="C110" s="345"/>
      <c r="D110" s="345"/>
      <c r="E110" s="345"/>
      <c r="F110" s="346"/>
      <c r="G110" s="289"/>
    </row>
    <row r="111" spans="1:7" ht="18.75" customHeight="1">
      <c r="A111" s="27"/>
      <c r="B111" s="496"/>
      <c r="C111" s="353"/>
      <c r="D111" s="353"/>
      <c r="E111" s="353"/>
      <c r="F111" s="353"/>
      <c r="G111" s="289"/>
    </row>
    <row r="112" spans="1:7" ht="22.5" customHeight="1">
      <c r="A112" s="27"/>
      <c r="B112" s="390" t="str">
        <f>CONCATENATE(TEXT(SUMÁRIO!D7-6,"DD")," de ",TEXT(SUMÁRIO!D7-6,"MMMM")," - Conteúdo")</f>
        <v>18 de fevereiro - Conteúdo</v>
      </c>
      <c r="C112" s="353"/>
      <c r="D112" s="353"/>
      <c r="E112" s="353"/>
      <c r="F112" s="353"/>
      <c r="G112" s="289"/>
    </row>
    <row r="113" spans="1:7" ht="18.75" customHeight="1">
      <c r="A113" s="27"/>
      <c r="B113" s="854" t="s">
        <v>564</v>
      </c>
      <c r="C113" s="353"/>
      <c r="D113" s="353"/>
      <c r="E113" s="353"/>
      <c r="F113" s="353"/>
      <c r="G113" s="289"/>
    </row>
    <row r="114" spans="1:7" ht="18.75" customHeight="1">
      <c r="A114" s="27"/>
      <c r="B114" s="128" t="b">
        <v>0</v>
      </c>
      <c r="C114" s="575" t="s">
        <v>565</v>
      </c>
      <c r="D114" s="345"/>
      <c r="E114" s="345"/>
      <c r="F114" s="346"/>
      <c r="G114" s="289"/>
    </row>
    <row r="115" spans="1:7" ht="18.75" customHeight="1">
      <c r="A115" s="27"/>
      <c r="B115" s="128" t="b">
        <v>0</v>
      </c>
      <c r="C115" s="598" t="s">
        <v>536</v>
      </c>
      <c r="D115" s="599"/>
      <c r="E115" s="599"/>
      <c r="F115" s="600"/>
      <c r="G115" s="289"/>
    </row>
    <row r="116" spans="1:7" ht="11.25" customHeight="1">
      <c r="A116" s="27"/>
      <c r="B116" s="854"/>
      <c r="C116" s="353"/>
      <c r="D116" s="353"/>
      <c r="E116" s="353"/>
      <c r="F116" s="353"/>
      <c r="G116" s="289"/>
    </row>
    <row r="117" spans="1:7" ht="18.75" customHeight="1">
      <c r="A117" s="27"/>
      <c r="B117" s="496"/>
      <c r="C117" s="353"/>
      <c r="D117" s="353"/>
      <c r="E117" s="353"/>
      <c r="F117" s="353"/>
      <c r="G117" s="289"/>
    </row>
    <row r="118" spans="1:7" ht="22.5" customHeight="1">
      <c r="A118" s="27"/>
      <c r="B118" s="390" t="str">
        <f>CONCATENATE(TEXT(SUMÁRIO!D7-5,"DD")," de ",TEXT(SUMÁRIO!D7-5,"MMMM")," - Abertura CPL 2")</f>
        <v>19 de fevereiro - Abertura CPL 2</v>
      </c>
      <c r="C118" s="353"/>
      <c r="D118" s="353"/>
      <c r="E118" s="353"/>
      <c r="F118" s="353"/>
      <c r="G118" s="289"/>
    </row>
    <row r="119" spans="1:7" ht="18.75" customHeight="1">
      <c r="A119" s="27"/>
      <c r="B119" s="311" t="s">
        <v>226</v>
      </c>
      <c r="C119" s="855" t="s">
        <v>566</v>
      </c>
      <c r="D119" s="345"/>
      <c r="E119" s="345"/>
      <c r="F119" s="346"/>
      <c r="G119" s="289"/>
    </row>
    <row r="120" spans="1:7" ht="11.25" customHeight="1">
      <c r="A120" s="27"/>
      <c r="B120" s="840"/>
      <c r="C120" s="345"/>
      <c r="D120" s="345"/>
      <c r="E120" s="345"/>
      <c r="F120" s="346"/>
      <c r="G120" s="289"/>
    </row>
    <row r="121" spans="1:7" ht="18.75" customHeight="1">
      <c r="A121" s="27"/>
      <c r="B121" s="128" t="b">
        <v>0</v>
      </c>
      <c r="C121" s="425" t="s">
        <v>567</v>
      </c>
      <c r="D121" s="345"/>
      <c r="E121" s="345"/>
      <c r="F121" s="346"/>
      <c r="G121" s="289"/>
    </row>
    <row r="122" spans="1:7" ht="18.75" customHeight="1">
      <c r="A122" s="27"/>
      <c r="B122" s="312" t="s">
        <v>568</v>
      </c>
      <c r="C122" s="834" t="s">
        <v>569</v>
      </c>
      <c r="D122" s="399"/>
      <c r="E122" s="399"/>
      <c r="F122" s="400"/>
      <c r="G122" s="289"/>
    </row>
    <row r="123" spans="1:7" ht="11.25" customHeight="1">
      <c r="A123" s="27"/>
      <c r="B123" s="835"/>
      <c r="C123" s="345"/>
      <c r="D123" s="345"/>
      <c r="E123" s="345"/>
      <c r="F123" s="346"/>
      <c r="G123" s="289"/>
    </row>
    <row r="124" spans="1:7" ht="18.75" customHeight="1">
      <c r="A124" s="27"/>
      <c r="B124" s="836" t="s">
        <v>513</v>
      </c>
      <c r="C124" s="345"/>
      <c r="D124" s="346"/>
      <c r="E124" s="837" t="s">
        <v>381</v>
      </c>
      <c r="F124" s="346"/>
      <c r="G124" s="289"/>
    </row>
    <row r="125" spans="1:7" ht="18.75" customHeight="1">
      <c r="A125" s="27"/>
      <c r="B125" s="128" t="b">
        <v>0</v>
      </c>
      <c r="C125" s="485" t="s">
        <v>570</v>
      </c>
      <c r="D125" s="346"/>
      <c r="E125" s="838">
        <f>SUMÁRIO!$D$7-5</f>
        <v>45707</v>
      </c>
      <c r="F125" s="400"/>
      <c r="G125" s="289"/>
    </row>
    <row r="126" spans="1:7" ht="18.75" customHeight="1">
      <c r="A126" s="27"/>
      <c r="B126" s="128" t="b">
        <v>0</v>
      </c>
      <c r="C126" s="485" t="s">
        <v>571</v>
      </c>
      <c r="D126" s="346"/>
      <c r="E126" s="817">
        <f>E125+1</f>
        <v>45708</v>
      </c>
      <c r="F126" s="346"/>
      <c r="G126" s="289"/>
    </row>
    <row r="127" spans="1:7" ht="11.25" customHeight="1">
      <c r="A127" s="27"/>
      <c r="B127" s="835"/>
      <c r="C127" s="345"/>
      <c r="D127" s="345"/>
      <c r="E127" s="345"/>
      <c r="F127" s="346"/>
      <c r="G127" s="289"/>
    </row>
    <row r="128" spans="1:7" ht="18.75" customHeight="1">
      <c r="A128" s="27"/>
      <c r="B128" s="812" t="s">
        <v>516</v>
      </c>
      <c r="C128" s="345"/>
      <c r="D128" s="346"/>
      <c r="E128" s="839" t="s">
        <v>381</v>
      </c>
      <c r="F128" s="346"/>
      <c r="G128" s="289"/>
    </row>
    <row r="129" spans="1:7" ht="18.75" customHeight="1">
      <c r="A129" s="27"/>
      <c r="B129" s="128" t="b">
        <v>0</v>
      </c>
      <c r="C129" s="485" t="s">
        <v>396</v>
      </c>
      <c r="D129" s="346"/>
      <c r="E129" s="838">
        <f>SUMÁRIO!$D$7-5</f>
        <v>45707</v>
      </c>
      <c r="F129" s="400"/>
      <c r="G129" s="289"/>
    </row>
    <row r="130" spans="1:7" ht="18.75" customHeight="1">
      <c r="A130" s="27"/>
      <c r="B130" s="128" t="b">
        <v>0</v>
      </c>
      <c r="C130" s="485" t="s">
        <v>397</v>
      </c>
      <c r="D130" s="346"/>
      <c r="E130" s="817">
        <f>E125</f>
        <v>45707</v>
      </c>
      <c r="F130" s="346"/>
      <c r="G130" s="289"/>
    </row>
    <row r="131" spans="1:7" ht="18.75" customHeight="1">
      <c r="A131" s="27"/>
      <c r="B131" s="128" t="b">
        <v>0</v>
      </c>
      <c r="C131" s="485" t="s">
        <v>398</v>
      </c>
      <c r="D131" s="346"/>
      <c r="E131" s="817">
        <f>E125+1</f>
        <v>45708</v>
      </c>
      <c r="F131" s="346"/>
      <c r="G131" s="289"/>
    </row>
    <row r="132" spans="1:7" ht="18.75" customHeight="1">
      <c r="A132" s="27"/>
      <c r="B132" s="128" t="b">
        <v>0</v>
      </c>
      <c r="C132" s="485" t="s">
        <v>399</v>
      </c>
      <c r="D132" s="346"/>
      <c r="E132" s="817">
        <f>E125+1</f>
        <v>45708</v>
      </c>
      <c r="F132" s="346"/>
      <c r="G132" s="289"/>
    </row>
    <row r="133" spans="1:7" ht="11.25" customHeight="1">
      <c r="A133" s="27"/>
      <c r="B133" s="840"/>
      <c r="C133" s="345"/>
      <c r="D133" s="345"/>
      <c r="E133" s="345"/>
      <c r="F133" s="346"/>
      <c r="G133" s="289"/>
    </row>
    <row r="134" spans="1:7" ht="18.75" customHeight="1">
      <c r="A134" s="27"/>
      <c r="B134" s="610"/>
      <c r="C134" s="353"/>
      <c r="D134" s="353"/>
      <c r="E134" s="353"/>
      <c r="F134" s="353"/>
      <c r="G134" s="289"/>
    </row>
    <row r="135" spans="1:7" ht="22.5" customHeight="1">
      <c r="A135" s="27"/>
      <c r="B135" s="390" t="str">
        <f>CONCATENATE(TEXT(SUMÁRIO!D7-5,"DD")," de ",TEXT(SUMÁRIO!D7-5,"MMMM")," - Planejamento da Recuperação de Vendas")</f>
        <v>19 de fevereiro - Planejamento da Recuperação de Vendas</v>
      </c>
      <c r="C135" s="353"/>
      <c r="D135" s="353"/>
      <c r="E135" s="353"/>
      <c r="F135" s="353"/>
      <c r="G135" s="289"/>
    </row>
    <row r="136" spans="1:7" ht="15.4">
      <c r="A136" s="27"/>
      <c r="B136" s="660" t="s">
        <v>572</v>
      </c>
      <c r="C136" s="353"/>
      <c r="D136" s="353"/>
      <c r="E136" s="353"/>
      <c r="F136" s="353"/>
      <c r="G136" s="289"/>
    </row>
    <row r="137" spans="1:7" ht="18.75" customHeight="1">
      <c r="A137" s="27"/>
      <c r="B137" s="313"/>
      <c r="C137" s="661" t="s">
        <v>573</v>
      </c>
      <c r="D137" s="353"/>
      <c r="E137" s="353"/>
      <c r="F137" s="353"/>
      <c r="G137" s="289"/>
    </row>
    <row r="138" spans="1:7" ht="11.25" customHeight="1">
      <c r="A138" s="27"/>
      <c r="B138" s="391"/>
      <c r="C138" s="353"/>
      <c r="D138" s="353"/>
      <c r="E138" s="353"/>
      <c r="F138" s="353"/>
      <c r="G138" s="289"/>
    </row>
    <row r="139" spans="1:7" ht="18.75" customHeight="1">
      <c r="A139" s="27"/>
      <c r="B139" s="841" t="s">
        <v>574</v>
      </c>
      <c r="C139" s="345"/>
      <c r="D139" s="345"/>
      <c r="E139" s="345"/>
      <c r="F139" s="346"/>
      <c r="G139" s="289"/>
    </row>
    <row r="140" spans="1:7" ht="18.75" customHeight="1">
      <c r="A140" s="27"/>
      <c r="B140" s="128" t="b">
        <v>0</v>
      </c>
      <c r="C140" s="485" t="s">
        <v>575</v>
      </c>
      <c r="D140" s="345"/>
      <c r="E140" s="345"/>
      <c r="F140" s="346"/>
      <c r="G140" s="289"/>
    </row>
    <row r="141" spans="1:7" ht="18.75" customHeight="1">
      <c r="A141" s="27"/>
      <c r="B141" s="128" t="b">
        <v>0</v>
      </c>
      <c r="C141" s="485" t="s">
        <v>576</v>
      </c>
      <c r="D141" s="345"/>
      <c r="E141" s="345"/>
      <c r="F141" s="346"/>
      <c r="G141" s="289"/>
    </row>
    <row r="142" spans="1:7" ht="18.75" customHeight="1">
      <c r="A142" s="27"/>
      <c r="B142" s="128" t="b">
        <v>0</v>
      </c>
      <c r="C142" s="485" t="s">
        <v>577</v>
      </c>
      <c r="D142" s="345"/>
      <c r="E142" s="345"/>
      <c r="F142" s="346"/>
      <c r="G142" s="289"/>
    </row>
    <row r="143" spans="1:7" ht="18.75" customHeight="1">
      <c r="A143" s="27"/>
      <c r="B143" s="128" t="b">
        <v>0</v>
      </c>
      <c r="C143" s="485" t="s">
        <v>578</v>
      </c>
      <c r="D143" s="345"/>
      <c r="E143" s="345"/>
      <c r="F143" s="346"/>
      <c r="G143" s="289"/>
    </row>
    <row r="144" spans="1:7" ht="18.75" customHeight="1">
      <c r="A144" s="27"/>
      <c r="B144" s="128" t="b">
        <v>0</v>
      </c>
      <c r="C144" s="485" t="s">
        <v>579</v>
      </c>
      <c r="D144" s="345"/>
      <c r="E144" s="345"/>
      <c r="F144" s="346"/>
      <c r="G144" s="289"/>
    </row>
    <row r="145" spans="1:7" ht="11.25" customHeight="1">
      <c r="A145" s="27"/>
      <c r="B145" s="356"/>
      <c r="C145" s="345"/>
      <c r="D145" s="345"/>
      <c r="E145" s="345"/>
      <c r="F145" s="346"/>
      <c r="G145" s="289"/>
    </row>
    <row r="146" spans="1:7" ht="18.75" customHeight="1">
      <c r="A146" s="27"/>
      <c r="B146" s="841" t="s">
        <v>580</v>
      </c>
      <c r="C146" s="345"/>
      <c r="D146" s="345"/>
      <c r="E146" s="345"/>
      <c r="F146" s="346"/>
      <c r="G146" s="289"/>
    </row>
    <row r="147" spans="1:7" ht="18.75" customHeight="1">
      <c r="A147" s="27"/>
      <c r="B147" s="128" t="b">
        <v>0</v>
      </c>
      <c r="C147" s="856" t="s">
        <v>581</v>
      </c>
      <c r="D147" s="345"/>
      <c r="E147" s="345"/>
      <c r="F147" s="346"/>
      <c r="G147" s="289"/>
    </row>
    <row r="148" spans="1:7" ht="18.75" customHeight="1">
      <c r="A148" s="27"/>
      <c r="B148" s="128" t="b">
        <v>0</v>
      </c>
      <c r="C148" s="485" t="s">
        <v>582</v>
      </c>
      <c r="D148" s="345"/>
      <c r="E148" s="345"/>
      <c r="F148" s="346"/>
      <c r="G148" s="289"/>
    </row>
    <row r="149" spans="1:7" ht="11.25" customHeight="1">
      <c r="A149" s="27"/>
      <c r="B149" s="591"/>
      <c r="C149" s="353"/>
      <c r="D149" s="353"/>
      <c r="E149" s="353"/>
      <c r="F149" s="353"/>
      <c r="G149" s="289"/>
    </row>
    <row r="150" spans="1:7" ht="18.75" customHeight="1">
      <c r="A150" s="27"/>
      <c r="B150" s="610"/>
      <c r="C150" s="353"/>
      <c r="D150" s="353"/>
      <c r="E150" s="353"/>
      <c r="F150" s="353"/>
      <c r="G150" s="289"/>
    </row>
    <row r="151" spans="1:7" ht="22.5" customHeight="1">
      <c r="A151" s="27"/>
      <c r="B151" s="390" t="str">
        <f>CONCATENATE(TEXT(SUMÁRIO!D7-5,"DD")," de ",TEXT(SUMÁRIO!D7-5,"MMMM")," - Conteúdo")</f>
        <v>19 de fevereiro - Conteúdo</v>
      </c>
      <c r="C151" s="353"/>
      <c r="D151" s="353"/>
      <c r="E151" s="353"/>
      <c r="F151" s="353"/>
      <c r="G151" s="289"/>
    </row>
    <row r="152" spans="1:7" ht="18.75" customHeight="1">
      <c r="A152" s="27"/>
      <c r="B152" s="128" t="b">
        <v>0</v>
      </c>
      <c r="C152" s="575" t="s">
        <v>565</v>
      </c>
      <c r="D152" s="345"/>
      <c r="E152" s="345"/>
      <c r="F152" s="346"/>
      <c r="G152" s="289"/>
    </row>
    <row r="153" spans="1:7" ht="18.75" customHeight="1">
      <c r="A153" s="27"/>
      <c r="B153" s="128" t="b">
        <v>0</v>
      </c>
      <c r="C153" s="598" t="s">
        <v>536</v>
      </c>
      <c r="D153" s="858"/>
      <c r="E153" s="858"/>
      <c r="F153" s="859"/>
      <c r="G153" s="289"/>
    </row>
    <row r="154" spans="1:7" ht="11.25" customHeight="1">
      <c r="A154" s="27"/>
      <c r="B154" s="446"/>
      <c r="C154" s="353"/>
      <c r="D154" s="353"/>
      <c r="E154" s="353"/>
      <c r="F154" s="353"/>
      <c r="G154" s="289"/>
    </row>
    <row r="155" spans="1:7" ht="18.75" customHeight="1">
      <c r="A155" s="27"/>
      <c r="B155" s="860"/>
      <c r="C155" s="353"/>
      <c r="D155" s="353"/>
      <c r="E155" s="353"/>
      <c r="F155" s="353"/>
      <c r="G155" s="289"/>
    </row>
    <row r="156" spans="1:7" ht="22.5" customHeight="1">
      <c r="A156" s="27"/>
      <c r="B156" s="390" t="str">
        <f>CONCATENATE(TEXT(SUMÁRIO!D7-4,"DD")," de ",TEXT(SUMÁRIO!D7-4,"MMMM")," - Criação da Campanha de Remarketing de Carrinho")</f>
        <v>20 de fevereiro - Criação da Campanha de Remarketing de Carrinho</v>
      </c>
      <c r="C156" s="353"/>
      <c r="D156" s="353"/>
      <c r="E156" s="353"/>
      <c r="F156" s="353"/>
      <c r="G156" s="289"/>
    </row>
    <row r="157" spans="1:7" ht="18.75" customHeight="1">
      <c r="A157" s="27"/>
      <c r="B157" s="80" t="s">
        <v>84</v>
      </c>
      <c r="C157" s="661" t="s">
        <v>583</v>
      </c>
      <c r="D157" s="353"/>
      <c r="E157" s="353"/>
      <c r="F157" s="353"/>
      <c r="G157" s="289"/>
    </row>
    <row r="158" spans="1:7" ht="11.25" customHeight="1">
      <c r="A158" s="27"/>
      <c r="B158" s="861"/>
      <c r="C158" s="353"/>
      <c r="D158" s="353"/>
      <c r="E158" s="353"/>
      <c r="F158" s="353"/>
      <c r="G158" s="289"/>
    </row>
    <row r="159" spans="1:7" ht="18.75" customHeight="1">
      <c r="A159" s="27"/>
      <c r="B159" s="862" t="s">
        <v>350</v>
      </c>
      <c r="C159" s="504"/>
      <c r="D159" s="314"/>
      <c r="E159" s="863" t="s">
        <v>584</v>
      </c>
      <c r="F159" s="360"/>
      <c r="G159" s="289"/>
    </row>
    <row r="160" spans="1:7" ht="18.75" customHeight="1">
      <c r="A160" s="27"/>
      <c r="B160" s="128" t="b">
        <v>0</v>
      </c>
      <c r="C160" s="89" t="s">
        <v>585</v>
      </c>
      <c r="D160" s="864"/>
      <c r="E160" s="199" t="b">
        <v>0</v>
      </c>
      <c r="F160" s="90" t="s">
        <v>586</v>
      </c>
      <c r="G160" s="289"/>
    </row>
    <row r="161" spans="1:7" ht="60.4">
      <c r="A161" s="27"/>
      <c r="B161" s="128" t="b">
        <v>0</v>
      </c>
      <c r="C161" s="226" t="s">
        <v>587</v>
      </c>
      <c r="D161" s="587"/>
      <c r="E161" s="199" t="b">
        <v>0</v>
      </c>
      <c r="F161" s="91" t="s">
        <v>588</v>
      </c>
      <c r="G161" s="289"/>
    </row>
    <row r="162" spans="1:7" ht="38.25">
      <c r="A162" s="27"/>
      <c r="B162" s="128" t="b">
        <v>0</v>
      </c>
      <c r="C162" s="89" t="s">
        <v>589</v>
      </c>
      <c r="D162" s="587"/>
      <c r="E162" s="199" t="b">
        <v>0</v>
      </c>
      <c r="F162" s="90" t="s">
        <v>590</v>
      </c>
      <c r="G162" s="289"/>
    </row>
    <row r="163" spans="1:7" ht="18.75" customHeight="1">
      <c r="A163" s="27"/>
      <c r="B163" s="128" t="b">
        <v>0</v>
      </c>
      <c r="C163" s="315" t="str">
        <f>CONCATENATE("Programe a campanha para começar dia ",TEXT(SUMÁRIO!D7,"DD/MM"))</f>
        <v>Programe a campanha para começar dia 24/02</v>
      </c>
      <c r="D163" s="865"/>
      <c r="E163" s="199" t="b">
        <v>0</v>
      </c>
      <c r="F163" s="316" t="str">
        <f>CONCATENATE("Programe a campanha para começar dia ",TEXT(SUMÁRIO!D7,"DD/MM"))</f>
        <v>Programe a campanha para começar dia 24/02</v>
      </c>
      <c r="G163" s="289"/>
    </row>
    <row r="164" spans="1:7" ht="11.25" customHeight="1">
      <c r="A164" s="27"/>
      <c r="B164" s="861"/>
      <c r="C164" s="353"/>
      <c r="D164" s="353"/>
      <c r="E164" s="353"/>
      <c r="F164" s="353"/>
      <c r="G164" s="289"/>
    </row>
    <row r="165" spans="1:7" ht="18.75" customHeight="1">
      <c r="A165" s="27"/>
      <c r="B165" s="610"/>
      <c r="C165" s="353"/>
      <c r="D165" s="353"/>
      <c r="E165" s="353"/>
      <c r="F165" s="353"/>
      <c r="G165" s="289"/>
    </row>
    <row r="166" spans="1:7" ht="22.5" customHeight="1">
      <c r="A166" s="27"/>
      <c r="B166" s="390" t="str">
        <f>CONCATENATE(TEXT(SUMÁRIO!D7-4,"DD")," de ",TEXT(SUMÁRIO!D7-4,"MMMM")," - Conteúdo")</f>
        <v>20 de fevereiro - Conteúdo</v>
      </c>
      <c r="C166" s="353"/>
      <c r="D166" s="353"/>
      <c r="E166" s="353"/>
      <c r="F166" s="353"/>
      <c r="G166" s="289"/>
    </row>
    <row r="167" spans="1:7" ht="18.75" customHeight="1">
      <c r="A167" s="27"/>
      <c r="B167" s="128" t="b">
        <v>0</v>
      </c>
      <c r="C167" s="485" t="s">
        <v>565</v>
      </c>
      <c r="D167" s="348"/>
      <c r="E167" s="348"/>
      <c r="F167" s="349"/>
      <c r="G167" s="289"/>
    </row>
    <row r="168" spans="1:7" ht="18.75" customHeight="1">
      <c r="A168" s="27"/>
      <c r="B168" s="69" t="b">
        <v>0</v>
      </c>
      <c r="C168" s="598" t="s">
        <v>536</v>
      </c>
      <c r="D168" s="599"/>
      <c r="E168" s="599"/>
      <c r="F168" s="600"/>
      <c r="G168" s="289"/>
    </row>
    <row r="169" spans="1:7" ht="11.25" customHeight="1">
      <c r="A169" s="27"/>
      <c r="B169" s="678"/>
      <c r="C169" s="353"/>
      <c r="D169" s="353"/>
      <c r="E169" s="353"/>
      <c r="F169" s="353"/>
      <c r="G169" s="289"/>
    </row>
    <row r="170" spans="1:7" ht="22.5" customHeight="1">
      <c r="A170" s="27"/>
      <c r="B170" s="496"/>
      <c r="C170" s="353"/>
      <c r="D170" s="353"/>
      <c r="E170" s="353"/>
      <c r="F170" s="353"/>
      <c r="G170" s="289"/>
    </row>
    <row r="171" spans="1:7" ht="18.75" customHeight="1">
      <c r="A171" s="27"/>
      <c r="B171" s="866" t="str">
        <f>CONCATENATE(TEXT(SUMÁRIO!D7-3,"DD")," de ",TEXT(SUMÁRIO!D7-3,"MMMM")," - Abertura CPL 3")</f>
        <v>21 de fevereiro - Abertura CPL 3</v>
      </c>
      <c r="C171" s="353"/>
      <c r="D171" s="353"/>
      <c r="E171" s="353"/>
      <c r="F171" s="353"/>
      <c r="G171" s="289"/>
    </row>
    <row r="172" spans="1:7" ht="18.75" customHeight="1">
      <c r="A172" s="27"/>
      <c r="B172" s="311" t="s">
        <v>226</v>
      </c>
      <c r="C172" s="855" t="s">
        <v>566</v>
      </c>
      <c r="D172" s="345"/>
      <c r="E172" s="345"/>
      <c r="F172" s="346"/>
      <c r="G172" s="289"/>
    </row>
    <row r="173" spans="1:7" ht="11.25" customHeight="1">
      <c r="A173" s="27"/>
      <c r="B173" s="867"/>
      <c r="C173" s="353"/>
      <c r="D173" s="353"/>
      <c r="E173" s="353"/>
      <c r="F173" s="353"/>
      <c r="G173" s="289"/>
    </row>
    <row r="174" spans="1:7" ht="18.75" customHeight="1">
      <c r="A174" s="27"/>
      <c r="B174" s="128" t="b">
        <v>0</v>
      </c>
      <c r="C174" s="425" t="s">
        <v>591</v>
      </c>
      <c r="D174" s="345"/>
      <c r="E174" s="345"/>
      <c r="F174" s="346"/>
      <c r="G174" s="289"/>
    </row>
    <row r="175" spans="1:7" ht="18.75" customHeight="1">
      <c r="A175" s="27"/>
      <c r="B175" s="317" t="s">
        <v>592</v>
      </c>
      <c r="C175" s="868" t="s">
        <v>593</v>
      </c>
      <c r="D175" s="399"/>
      <c r="E175" s="399"/>
      <c r="F175" s="400"/>
      <c r="G175" s="289"/>
    </row>
    <row r="176" spans="1:7" ht="11.25" customHeight="1">
      <c r="A176" s="27"/>
      <c r="B176" s="357"/>
      <c r="C176" s="345"/>
      <c r="D176" s="345"/>
      <c r="E176" s="345"/>
      <c r="F176" s="346"/>
      <c r="G176" s="289"/>
    </row>
    <row r="177" spans="1:7" ht="18.75" customHeight="1">
      <c r="A177" s="27"/>
      <c r="B177" s="812" t="s">
        <v>513</v>
      </c>
      <c r="C177" s="345"/>
      <c r="D177" s="346"/>
      <c r="E177" s="813" t="s">
        <v>381</v>
      </c>
      <c r="F177" s="346"/>
      <c r="G177" s="289"/>
    </row>
    <row r="178" spans="1:7" ht="18.75" customHeight="1">
      <c r="A178" s="27"/>
      <c r="B178" s="128" t="b">
        <v>0</v>
      </c>
      <c r="C178" s="425" t="s">
        <v>594</v>
      </c>
      <c r="D178" s="346"/>
      <c r="E178" s="817">
        <f>SUMÁRIO!$D$7-3</f>
        <v>45709</v>
      </c>
      <c r="F178" s="346"/>
      <c r="G178" s="289"/>
    </row>
    <row r="179" spans="1:7" ht="18.75" customHeight="1">
      <c r="A179" s="27"/>
      <c r="B179" s="128" t="b">
        <v>0</v>
      </c>
      <c r="C179" s="425" t="s">
        <v>595</v>
      </c>
      <c r="D179" s="346"/>
      <c r="E179" s="817">
        <f>E178+1</f>
        <v>45710</v>
      </c>
      <c r="F179" s="346"/>
      <c r="G179" s="289"/>
    </row>
    <row r="180" spans="1:7" ht="18.75" customHeight="1">
      <c r="A180" s="27"/>
      <c r="B180" s="128" t="b">
        <v>0</v>
      </c>
      <c r="C180" s="425" t="s">
        <v>596</v>
      </c>
      <c r="D180" s="346"/>
      <c r="E180" s="817">
        <f>E179</f>
        <v>45710</v>
      </c>
      <c r="F180" s="346"/>
      <c r="G180" s="289"/>
    </row>
    <row r="181" spans="1:7" ht="18.75" customHeight="1">
      <c r="A181" s="27"/>
      <c r="B181" s="128" t="b">
        <v>0</v>
      </c>
      <c r="C181" s="425" t="s">
        <v>597</v>
      </c>
      <c r="D181" s="346"/>
      <c r="E181" s="817">
        <f>E178+2</f>
        <v>45711</v>
      </c>
      <c r="F181" s="346"/>
      <c r="G181" s="289"/>
    </row>
    <row r="182" spans="1:7" ht="11.25" customHeight="1">
      <c r="A182" s="27"/>
      <c r="B182" s="357"/>
      <c r="C182" s="345"/>
      <c r="D182" s="345"/>
      <c r="E182" s="345"/>
      <c r="F182" s="346"/>
      <c r="G182" s="289"/>
    </row>
    <row r="183" spans="1:7" ht="18.75" customHeight="1">
      <c r="A183" s="27"/>
      <c r="B183" s="812" t="s">
        <v>516</v>
      </c>
      <c r="C183" s="345"/>
      <c r="D183" s="346"/>
      <c r="E183" s="813" t="s">
        <v>381</v>
      </c>
      <c r="F183" s="346"/>
      <c r="G183" s="289"/>
    </row>
    <row r="184" spans="1:7" ht="18.75" customHeight="1">
      <c r="A184" s="27"/>
      <c r="B184" s="128" t="b">
        <v>0</v>
      </c>
      <c r="C184" s="425" t="s">
        <v>598</v>
      </c>
      <c r="D184" s="346"/>
      <c r="E184" s="869">
        <f>SUMÁRIO!$D$7-3</f>
        <v>45709</v>
      </c>
      <c r="F184" s="403"/>
      <c r="G184" s="289"/>
    </row>
    <row r="185" spans="1:7" ht="18.75" customHeight="1">
      <c r="A185" s="27"/>
      <c r="B185" s="128" t="b">
        <v>0</v>
      </c>
      <c r="C185" s="425" t="s">
        <v>599</v>
      </c>
      <c r="D185" s="346"/>
      <c r="E185" s="847"/>
      <c r="F185" s="400"/>
      <c r="G185" s="289"/>
    </row>
    <row r="186" spans="1:7" ht="18.75" customHeight="1">
      <c r="A186" s="27"/>
      <c r="B186" s="128" t="b">
        <v>0</v>
      </c>
      <c r="C186" s="425" t="s">
        <v>600</v>
      </c>
      <c r="D186" s="346"/>
      <c r="E186" s="869">
        <f>E178+1</f>
        <v>45710</v>
      </c>
      <c r="F186" s="403"/>
      <c r="G186" s="289"/>
    </row>
    <row r="187" spans="1:7" ht="18.75" customHeight="1">
      <c r="A187" s="27"/>
      <c r="B187" s="128" t="b">
        <v>0</v>
      </c>
      <c r="C187" s="425" t="s">
        <v>601</v>
      </c>
      <c r="D187" s="346"/>
      <c r="E187" s="684"/>
      <c r="F187" s="474"/>
      <c r="G187" s="289"/>
    </row>
    <row r="188" spans="1:7" ht="18.75" customHeight="1">
      <c r="A188" s="27"/>
      <c r="B188" s="128" t="b">
        <v>0</v>
      </c>
      <c r="C188" s="425" t="s">
        <v>602</v>
      </c>
      <c r="D188" s="346"/>
      <c r="E188" s="847"/>
      <c r="F188" s="400"/>
      <c r="G188" s="289"/>
    </row>
    <row r="189" spans="1:7" ht="18.75" customHeight="1">
      <c r="A189" s="27"/>
      <c r="B189" s="128" t="b">
        <v>0</v>
      </c>
      <c r="C189" s="425" t="s">
        <v>603</v>
      </c>
      <c r="D189" s="346"/>
      <c r="E189" s="817">
        <f>E178+2</f>
        <v>45711</v>
      </c>
      <c r="F189" s="346"/>
      <c r="G189" s="289"/>
    </row>
    <row r="190" spans="1:7" ht="11.25" customHeight="1">
      <c r="A190" s="27"/>
      <c r="B190" s="357"/>
      <c r="C190" s="345"/>
      <c r="D190" s="345"/>
      <c r="E190" s="345"/>
      <c r="F190" s="346"/>
      <c r="G190" s="289"/>
    </row>
    <row r="191" spans="1:7" ht="18.75" customHeight="1">
      <c r="A191" s="27"/>
      <c r="B191" s="610"/>
      <c r="C191" s="353"/>
      <c r="D191" s="353"/>
      <c r="E191" s="353"/>
      <c r="F191" s="353"/>
      <c r="G191" s="289"/>
    </row>
    <row r="192" spans="1:7" ht="18.75" customHeight="1">
      <c r="A192" s="27"/>
      <c r="B192" s="390" t="str">
        <f>CONCATENATE(TEXT(SUMÁRIO!D7-3,"DD")," de ",TEXT(SUMÁRIO!D7-3,"MMMM")," - Conteúdo")</f>
        <v>21 de fevereiro - Conteúdo</v>
      </c>
      <c r="C192" s="353"/>
      <c r="D192" s="353"/>
      <c r="E192" s="353"/>
      <c r="F192" s="353"/>
      <c r="G192" s="289"/>
    </row>
    <row r="193" spans="1:7" ht="18.75" customHeight="1">
      <c r="A193" s="27"/>
      <c r="B193" s="128" t="b">
        <v>0</v>
      </c>
      <c r="C193" s="485" t="s">
        <v>565</v>
      </c>
      <c r="D193" s="345"/>
      <c r="E193" s="345"/>
      <c r="F193" s="346"/>
      <c r="G193" s="289"/>
    </row>
    <row r="194" spans="1:7" ht="18.75" customHeight="1">
      <c r="A194" s="27"/>
      <c r="B194" s="69" t="b">
        <v>0</v>
      </c>
      <c r="C194" s="598" t="s">
        <v>536</v>
      </c>
      <c r="D194" s="599"/>
      <c r="E194" s="599"/>
      <c r="F194" s="600"/>
      <c r="G194" s="289"/>
    </row>
    <row r="195" spans="1:7" ht="11.25" customHeight="1">
      <c r="A195" s="27"/>
      <c r="B195" s="446"/>
      <c r="C195" s="353"/>
      <c r="D195" s="353"/>
      <c r="E195" s="353"/>
      <c r="F195" s="353"/>
      <c r="G195" s="289"/>
    </row>
    <row r="196" spans="1:7" ht="18.75" customHeight="1">
      <c r="A196" s="27"/>
      <c r="B196" s="496"/>
      <c r="C196" s="353"/>
      <c r="D196" s="353"/>
      <c r="E196" s="353"/>
      <c r="F196" s="353"/>
      <c r="G196" s="289"/>
    </row>
    <row r="197" spans="1:7" ht="22.5" customHeight="1">
      <c r="A197" s="27"/>
      <c r="B197" s="857" t="str">
        <f>CONCATENATE(TEXT(SUMÁRIO!D7-2,"DD")," de ",TEXT(SUMÁRIO!D7-2,"MMMM")," - Conteúdo")</f>
        <v>22 de fevereiro - Conteúdo</v>
      </c>
      <c r="C197" s="353"/>
      <c r="D197" s="353"/>
      <c r="E197" s="353"/>
      <c r="F197" s="465"/>
      <c r="G197" s="289"/>
    </row>
    <row r="198" spans="1:7" ht="18.75" customHeight="1">
      <c r="A198" s="27"/>
      <c r="B198" s="69" t="b">
        <v>0</v>
      </c>
      <c r="C198" s="485" t="s">
        <v>604</v>
      </c>
      <c r="D198" s="345"/>
      <c r="E198" s="345"/>
      <c r="F198" s="346"/>
      <c r="G198" s="289"/>
    </row>
    <row r="199" spans="1:7" ht="18.75" customHeight="1">
      <c r="A199" s="27"/>
      <c r="B199" s="69" t="b">
        <v>0</v>
      </c>
      <c r="C199" s="598" t="s">
        <v>536</v>
      </c>
      <c r="D199" s="858"/>
      <c r="E199" s="858"/>
      <c r="F199" s="859"/>
      <c r="G199" s="289"/>
    </row>
    <row r="200" spans="1:7" ht="11.25" customHeight="1">
      <c r="A200" s="27"/>
      <c r="B200" s="357"/>
      <c r="C200" s="345"/>
      <c r="D200" s="345"/>
      <c r="E200" s="345"/>
      <c r="F200" s="346"/>
      <c r="G200" s="289"/>
    </row>
    <row r="201" spans="1:7" ht="18.75" customHeight="1">
      <c r="A201" s="27"/>
      <c r="B201" s="496"/>
      <c r="C201" s="353"/>
      <c r="D201" s="353"/>
      <c r="E201" s="353"/>
      <c r="F201" s="353"/>
      <c r="G201" s="289"/>
    </row>
    <row r="202" spans="1:7" ht="18.75" customHeight="1">
      <c r="A202" s="27"/>
      <c r="B202" s="390" t="str">
        <f>CONCATENATE(TEXT(SUMÁRIO!D7-1,"DD")," de ",TEXT(SUMÁRIO!D7-1,"MMMM")," - Conteúdo de Efeito Tsunami")</f>
        <v>23 de fevereiro - Conteúdo de Efeito Tsunami</v>
      </c>
      <c r="C202" s="353"/>
      <c r="D202" s="353"/>
      <c r="E202" s="353"/>
      <c r="F202" s="353"/>
      <c r="G202" s="289"/>
    </row>
    <row r="203" spans="1:7" ht="18.75" customHeight="1">
      <c r="A203" s="27"/>
      <c r="B203" s="78" t="b">
        <v>0</v>
      </c>
      <c r="C203" s="678" t="s">
        <v>605</v>
      </c>
      <c r="D203" s="353"/>
      <c r="E203" s="353"/>
      <c r="F203" s="353"/>
      <c r="G203" s="289"/>
    </row>
    <row r="204" spans="1:7" ht="18.75" customHeight="1">
      <c r="A204" s="27"/>
      <c r="B204" s="128" t="b">
        <v>0</v>
      </c>
      <c r="C204" s="485" t="s">
        <v>606</v>
      </c>
      <c r="D204" s="348"/>
      <c r="E204" s="348"/>
      <c r="F204" s="349"/>
      <c r="G204" s="289"/>
    </row>
    <row r="205" spans="1:7" ht="11.25" customHeight="1">
      <c r="A205" s="27"/>
      <c r="B205" s="678"/>
      <c r="C205" s="353"/>
      <c r="D205" s="353"/>
      <c r="E205" s="353"/>
      <c r="F205" s="353"/>
      <c r="G205" s="289"/>
    </row>
    <row r="206" spans="1:7" ht="26.25" customHeight="1">
      <c r="A206" s="27"/>
      <c r="B206" s="496"/>
      <c r="C206" s="353"/>
      <c r="D206" s="353"/>
      <c r="E206" s="353"/>
      <c r="F206" s="353"/>
      <c r="G206" s="289"/>
    </row>
  </sheetData>
  <mergeCells count="245">
    <mergeCell ref="C181:D181"/>
    <mergeCell ref="E184:F185"/>
    <mergeCell ref="E186:F188"/>
    <mergeCell ref="E189:F189"/>
    <mergeCell ref="E181:F181"/>
    <mergeCell ref="B182:F182"/>
    <mergeCell ref="B183:D183"/>
    <mergeCell ref="E183:F183"/>
    <mergeCell ref="C184:D184"/>
    <mergeCell ref="C185:D185"/>
    <mergeCell ref="C186:D186"/>
    <mergeCell ref="C175:F175"/>
    <mergeCell ref="B176:F176"/>
    <mergeCell ref="B177:D177"/>
    <mergeCell ref="E177:F177"/>
    <mergeCell ref="C178:D178"/>
    <mergeCell ref="E178:F178"/>
    <mergeCell ref="C179:D179"/>
    <mergeCell ref="E179:F179"/>
    <mergeCell ref="C180:D180"/>
    <mergeCell ref="E180:F180"/>
    <mergeCell ref="B166:F166"/>
    <mergeCell ref="C167:F167"/>
    <mergeCell ref="C168:F168"/>
    <mergeCell ref="B169:F169"/>
    <mergeCell ref="B170:F170"/>
    <mergeCell ref="B171:F171"/>
    <mergeCell ref="C172:F172"/>
    <mergeCell ref="B173:F173"/>
    <mergeCell ref="C174:F174"/>
    <mergeCell ref="B192:F192"/>
    <mergeCell ref="C193:F193"/>
    <mergeCell ref="B201:F201"/>
    <mergeCell ref="B202:F202"/>
    <mergeCell ref="C203:F203"/>
    <mergeCell ref="C204:F204"/>
    <mergeCell ref="B205:F205"/>
    <mergeCell ref="B206:F206"/>
    <mergeCell ref="C194:F194"/>
    <mergeCell ref="B195:F195"/>
    <mergeCell ref="B196:F196"/>
    <mergeCell ref="B197:F197"/>
    <mergeCell ref="C198:F198"/>
    <mergeCell ref="C199:F199"/>
    <mergeCell ref="B200:F200"/>
    <mergeCell ref="B145:F145"/>
    <mergeCell ref="B146:F146"/>
    <mergeCell ref="C147:F147"/>
    <mergeCell ref="C148:F148"/>
    <mergeCell ref="C187:D187"/>
    <mergeCell ref="C188:D188"/>
    <mergeCell ref="C189:D189"/>
    <mergeCell ref="B190:F190"/>
    <mergeCell ref="B191:F191"/>
    <mergeCell ref="B149:F149"/>
    <mergeCell ref="B150:F150"/>
    <mergeCell ref="B151:F151"/>
    <mergeCell ref="C152:F152"/>
    <mergeCell ref="C153:F153"/>
    <mergeCell ref="B154:F154"/>
    <mergeCell ref="B155:F155"/>
    <mergeCell ref="B156:F156"/>
    <mergeCell ref="C157:F157"/>
    <mergeCell ref="B158:F158"/>
    <mergeCell ref="B159:C159"/>
    <mergeCell ref="E159:F159"/>
    <mergeCell ref="D160:D163"/>
    <mergeCell ref="B164:F164"/>
    <mergeCell ref="B165:F165"/>
    <mergeCell ref="B116:F116"/>
    <mergeCell ref="B117:F117"/>
    <mergeCell ref="B118:F118"/>
    <mergeCell ref="C119:F119"/>
    <mergeCell ref="B120:F120"/>
    <mergeCell ref="C121:F121"/>
    <mergeCell ref="C142:F142"/>
    <mergeCell ref="C143:F143"/>
    <mergeCell ref="C144:F144"/>
    <mergeCell ref="D107:E107"/>
    <mergeCell ref="D108:E108"/>
    <mergeCell ref="D109:E109"/>
    <mergeCell ref="B110:F110"/>
    <mergeCell ref="B111:F111"/>
    <mergeCell ref="B112:F112"/>
    <mergeCell ref="B113:F113"/>
    <mergeCell ref="C114:F114"/>
    <mergeCell ref="C115:F115"/>
    <mergeCell ref="D98:E98"/>
    <mergeCell ref="D99:E99"/>
    <mergeCell ref="B100:F100"/>
    <mergeCell ref="B101:F101"/>
    <mergeCell ref="B102:F102"/>
    <mergeCell ref="B103:F103"/>
    <mergeCell ref="C104:F104"/>
    <mergeCell ref="D105:E105"/>
    <mergeCell ref="D106:E106"/>
    <mergeCell ref="B88:B89"/>
    <mergeCell ref="C88:D89"/>
    <mergeCell ref="B91:F91"/>
    <mergeCell ref="B92:F92"/>
    <mergeCell ref="B93:F93"/>
    <mergeCell ref="B94:F94"/>
    <mergeCell ref="C95:F95"/>
    <mergeCell ref="C96:F96"/>
    <mergeCell ref="D97:E97"/>
    <mergeCell ref="C79:F79"/>
    <mergeCell ref="B80:F80"/>
    <mergeCell ref="B81:F81"/>
    <mergeCell ref="B82:F82"/>
    <mergeCell ref="C83:F83"/>
    <mergeCell ref="B84:F84"/>
    <mergeCell ref="B85:F85"/>
    <mergeCell ref="B86:F86"/>
    <mergeCell ref="B87:F87"/>
    <mergeCell ref="B133:F133"/>
    <mergeCell ref="B134:F134"/>
    <mergeCell ref="B135:F135"/>
    <mergeCell ref="B136:F136"/>
    <mergeCell ref="C137:F137"/>
    <mergeCell ref="B138:F138"/>
    <mergeCell ref="B139:F139"/>
    <mergeCell ref="C140:F140"/>
    <mergeCell ref="C141:F141"/>
    <mergeCell ref="B128:D128"/>
    <mergeCell ref="E128:F128"/>
    <mergeCell ref="C129:D129"/>
    <mergeCell ref="E129:F129"/>
    <mergeCell ref="E130:F130"/>
    <mergeCell ref="C130:D130"/>
    <mergeCell ref="C131:D131"/>
    <mergeCell ref="E131:F131"/>
    <mergeCell ref="C132:D132"/>
    <mergeCell ref="E132:F132"/>
    <mergeCell ref="C122:F122"/>
    <mergeCell ref="B123:F123"/>
    <mergeCell ref="B124:D124"/>
    <mergeCell ref="E124:F124"/>
    <mergeCell ref="C125:D125"/>
    <mergeCell ref="E125:F125"/>
    <mergeCell ref="C126:D126"/>
    <mergeCell ref="E126:F126"/>
    <mergeCell ref="B127:F127"/>
    <mergeCell ref="C67:D67"/>
    <mergeCell ref="E67:F67"/>
    <mergeCell ref="E72:F72"/>
    <mergeCell ref="B73:F73"/>
    <mergeCell ref="B74:F74"/>
    <mergeCell ref="B75:F75"/>
    <mergeCell ref="C76:F76"/>
    <mergeCell ref="B77:F77"/>
    <mergeCell ref="C78:F78"/>
    <mergeCell ref="B61:F61"/>
    <mergeCell ref="B62:F62"/>
    <mergeCell ref="B63:D63"/>
    <mergeCell ref="E63:F63"/>
    <mergeCell ref="E64:F64"/>
    <mergeCell ref="C64:D64"/>
    <mergeCell ref="C65:D65"/>
    <mergeCell ref="E65:F65"/>
    <mergeCell ref="C66:D66"/>
    <mergeCell ref="E66:F66"/>
    <mergeCell ref="C54:D54"/>
    <mergeCell ref="E54:F54"/>
    <mergeCell ref="C58:D58"/>
    <mergeCell ref="C59:D59"/>
    <mergeCell ref="C60:D60"/>
    <mergeCell ref="C55:D55"/>
    <mergeCell ref="E55:F55"/>
    <mergeCell ref="C56:D56"/>
    <mergeCell ref="E56:F56"/>
    <mergeCell ref="C57:D57"/>
    <mergeCell ref="E57:F57"/>
    <mergeCell ref="E58:F58"/>
    <mergeCell ref="E59:F59"/>
    <mergeCell ref="E60:F60"/>
    <mergeCell ref="B41:F41"/>
    <mergeCell ref="B42:F42"/>
    <mergeCell ref="C43:F43"/>
    <mergeCell ref="C71:D71"/>
    <mergeCell ref="C72:D72"/>
    <mergeCell ref="C68:D68"/>
    <mergeCell ref="E68:F68"/>
    <mergeCell ref="C69:D69"/>
    <mergeCell ref="E69:F69"/>
    <mergeCell ref="C70:D70"/>
    <mergeCell ref="E70:F70"/>
    <mergeCell ref="E71:F71"/>
    <mergeCell ref="C44:F44"/>
    <mergeCell ref="B45:F45"/>
    <mergeCell ref="B46:F46"/>
    <mergeCell ref="B47:F47"/>
    <mergeCell ref="C48:F48"/>
    <mergeCell ref="B49:F49"/>
    <mergeCell ref="B50:F50"/>
    <mergeCell ref="C51:F51"/>
    <mergeCell ref="B52:D52"/>
    <mergeCell ref="E52:F52"/>
    <mergeCell ref="C53:D53"/>
    <mergeCell ref="E53:F53"/>
    <mergeCell ref="C36:D36"/>
    <mergeCell ref="E36:F36"/>
    <mergeCell ref="C37:D37"/>
    <mergeCell ref="E37:F37"/>
    <mergeCell ref="E38:F38"/>
    <mergeCell ref="C38:D38"/>
    <mergeCell ref="C39:D39"/>
    <mergeCell ref="E39:F39"/>
    <mergeCell ref="B40:F40"/>
    <mergeCell ref="B30:F30"/>
    <mergeCell ref="B31:F31"/>
    <mergeCell ref="B32:D32"/>
    <mergeCell ref="E32:F32"/>
    <mergeCell ref="C33:D33"/>
    <mergeCell ref="E33:F33"/>
    <mergeCell ref="C34:D34"/>
    <mergeCell ref="E34:F34"/>
    <mergeCell ref="B35:D35"/>
    <mergeCell ref="E35:F35"/>
    <mergeCell ref="B22:F22"/>
    <mergeCell ref="B23:F23"/>
    <mergeCell ref="B24:F24"/>
    <mergeCell ref="B25:F25"/>
    <mergeCell ref="B26:F26"/>
    <mergeCell ref="B27:D27"/>
    <mergeCell ref="E27:F27"/>
    <mergeCell ref="C28:F28"/>
    <mergeCell ref="B29:F29"/>
    <mergeCell ref="B12:F12"/>
    <mergeCell ref="C13:F13"/>
    <mergeCell ref="B14:F14"/>
    <mergeCell ref="D15:E15"/>
    <mergeCell ref="B16:F16"/>
    <mergeCell ref="B17:F17"/>
    <mergeCell ref="C18:F18"/>
    <mergeCell ref="B19:C21"/>
    <mergeCell ref="D19:D21"/>
    <mergeCell ref="A1:G1"/>
    <mergeCell ref="A2:G2"/>
    <mergeCell ref="B3:B5"/>
    <mergeCell ref="C4:F4"/>
    <mergeCell ref="B7:D7"/>
    <mergeCell ref="C8:F8"/>
    <mergeCell ref="B9:F9"/>
    <mergeCell ref="B10:F10"/>
    <mergeCell ref="B11:F11"/>
  </mergeCells>
  <hyperlinks>
    <hyperlink ref="F15" r:id="rId1" xr:uid="{00000000-0004-0000-0500-000000000000}"/>
    <hyperlink ref="C48" location="'Pré-lançamento'!F20" display="Utilize o documento 1, listado em &quot;Documentos Necessários&quot; no início desta página" xr:uid="{00000000-0004-0000-0500-000001000000}"/>
    <hyperlink ref="C51" location="'Pré-lançamento'!F21" display="Organize as datas dos disparos no documento 2, listado em &quot;Documentos Necessários&quot; no início desta seção. " xr:uid="{00000000-0004-0000-0500-000002000000}"/>
    <hyperlink ref="C137" location="'Pré-lançamento'!F21" display="Acesse o documento 3, listado em &quot;Documentos Necessários&quot; no início desta seção " xr:uid="{00000000-0004-0000-0500-000003000000}"/>
    <hyperlink ref="C147" r:id="rId2" xr:uid="{00000000-0004-0000-0500-000004000000}"/>
    <hyperlink ref="C157" location="'Pré-lançamento'!C15" display="Material Complementar - Remarketing de Carrinho" xr:uid="{00000000-0004-0000-0500-000005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4C2F4"/>
    <outlinePr summaryBelow="0" summaryRight="0"/>
    <pageSetUpPr fitToPage="1"/>
  </sheetPr>
  <dimension ref="A1:G90"/>
  <sheetViews>
    <sheetView workbookViewId="0">
      <pane ySplit="6" topLeftCell="A7" activePane="bottomLeft" state="frozen"/>
      <selection pane="bottomLeft" activeCell="B8" sqref="B8"/>
    </sheetView>
  </sheetViews>
  <sheetFormatPr defaultColWidth="12.59765625" defaultRowHeight="15.75" customHeight="1"/>
  <cols>
    <col min="1" max="1" width="4.3984375" customWidth="1"/>
    <col min="2" max="2" width="3.86328125" customWidth="1"/>
    <col min="3" max="3" width="61.1328125" customWidth="1"/>
    <col min="4" max="5" width="4.3984375" customWidth="1"/>
    <col min="6" max="6" width="61.1328125" customWidth="1"/>
    <col min="7" max="7" width="4.3984375" customWidth="1"/>
  </cols>
  <sheetData>
    <row r="1" spans="1:7" ht="41.25" customHeight="1">
      <c r="A1" s="805" t="str">
        <f>CONCATENATE("Lançamento - ",TEXT(SUMÁRIO!$D$7,"DD/MM")," até ",TEXT(SUMÁRIO!$D$7+4,"DD/MM"),)</f>
        <v>Lançamento - 24/02 até 28/02</v>
      </c>
      <c r="B1" s="339"/>
      <c r="C1" s="339"/>
      <c r="D1" s="339"/>
      <c r="E1" s="339"/>
      <c r="F1" s="339"/>
      <c r="G1" s="340"/>
    </row>
    <row r="2" spans="1:7" ht="16.5" customHeight="1">
      <c r="A2" s="636" t="s">
        <v>44</v>
      </c>
      <c r="B2" s="339"/>
      <c r="C2" s="339"/>
      <c r="D2" s="339"/>
      <c r="E2" s="339"/>
      <c r="F2" s="339"/>
      <c r="G2" s="340"/>
    </row>
    <row r="3" spans="1:7" ht="6" customHeight="1">
      <c r="A3" s="139"/>
      <c r="B3" s="455">
        <f>(COUNTIF(B7:B90,TRUE)+COUNTIF(G:G,TRUE))/22</f>
        <v>0</v>
      </c>
      <c r="C3" s="20"/>
      <c r="D3" s="21"/>
      <c r="E3" s="21"/>
      <c r="F3" s="21"/>
      <c r="G3" s="21"/>
    </row>
    <row r="4" spans="1:7" ht="6" customHeight="1">
      <c r="A4" s="139"/>
      <c r="B4" s="456"/>
      <c r="C4" s="458" t="str">
        <f ca="1">IFERROR(__xludf.DUMMYFUNCTION("SPARKLINE(B3,{""charttype"",""bar"";""color1"",""#38a036"";""max"",1})"),"")</f>
        <v/>
      </c>
      <c r="D4" s="339"/>
      <c r="E4" s="339"/>
      <c r="F4" s="340"/>
      <c r="G4" s="140"/>
    </row>
    <row r="5" spans="1:7" ht="6" customHeight="1">
      <c r="A5" s="139"/>
      <c r="B5" s="457"/>
      <c r="C5" s="26"/>
      <c r="D5" s="140"/>
      <c r="E5" s="140"/>
      <c r="F5" s="140"/>
      <c r="G5" s="140"/>
    </row>
    <row r="6" spans="1:7" ht="6" customHeight="1">
      <c r="A6" s="139"/>
      <c r="B6" s="93"/>
      <c r="C6" s="20"/>
      <c r="D6" s="21"/>
      <c r="E6" s="21"/>
      <c r="F6" s="21"/>
      <c r="G6" s="21"/>
    </row>
    <row r="7" spans="1:7" ht="15" customHeight="1">
      <c r="A7" s="286"/>
      <c r="B7" s="806"/>
      <c r="C7" s="342"/>
      <c r="D7" s="343"/>
      <c r="E7" s="28"/>
      <c r="F7" s="28"/>
      <c r="G7" s="30"/>
    </row>
    <row r="8" spans="1:7" ht="22.5" customHeight="1">
      <c r="A8" s="286"/>
      <c r="B8" s="94"/>
      <c r="C8" s="489" t="s">
        <v>161</v>
      </c>
      <c r="D8" s="353"/>
      <c r="E8" s="353"/>
      <c r="F8" s="353"/>
      <c r="G8" s="287"/>
    </row>
    <row r="9" spans="1:7" ht="18.75" customHeight="1">
      <c r="A9" s="286"/>
      <c r="B9" s="639" t="s">
        <v>607</v>
      </c>
      <c r="C9" s="364"/>
      <c r="D9" s="364"/>
      <c r="E9" s="364"/>
      <c r="F9" s="365"/>
      <c r="G9" s="287"/>
    </row>
    <row r="10" spans="1:7" ht="18.75" customHeight="1">
      <c r="A10" s="286"/>
      <c r="B10" s="872" t="s">
        <v>608</v>
      </c>
      <c r="C10" s="364"/>
      <c r="D10" s="364"/>
      <c r="E10" s="364"/>
      <c r="F10" s="365"/>
      <c r="G10" s="287"/>
    </row>
    <row r="11" spans="1:7" ht="18.75" customHeight="1">
      <c r="A11" s="286"/>
      <c r="B11" s="873" t="s">
        <v>609</v>
      </c>
      <c r="C11" s="364"/>
      <c r="D11" s="364"/>
      <c r="E11" s="364"/>
      <c r="F11" s="365"/>
      <c r="G11" s="287"/>
    </row>
    <row r="12" spans="1:7" ht="11.25" customHeight="1">
      <c r="A12" s="286"/>
      <c r="B12" s="641"/>
      <c r="C12" s="364"/>
      <c r="D12" s="364"/>
      <c r="E12" s="364"/>
      <c r="F12" s="365"/>
      <c r="G12" s="287"/>
    </row>
    <row r="13" spans="1:7" ht="18.75" customHeight="1">
      <c r="A13" s="286"/>
      <c r="B13" s="642"/>
      <c r="C13" s="353"/>
      <c r="D13" s="353"/>
      <c r="E13" s="353"/>
      <c r="F13" s="353"/>
      <c r="G13" s="287"/>
    </row>
    <row r="14" spans="1:7" ht="22.5" customHeight="1">
      <c r="A14" s="286"/>
      <c r="B14" s="95" t="s">
        <v>101</v>
      </c>
      <c r="C14" s="459" t="s">
        <v>610</v>
      </c>
      <c r="D14" s="353"/>
      <c r="E14" s="353"/>
      <c r="F14" s="353"/>
      <c r="G14" s="287"/>
    </row>
    <row r="15" spans="1:7" ht="18.75" customHeight="1">
      <c r="A15" s="286"/>
      <c r="B15" s="643" t="s">
        <v>36</v>
      </c>
      <c r="C15" s="353"/>
      <c r="D15" s="353"/>
      <c r="E15" s="353"/>
      <c r="F15" s="353"/>
      <c r="G15" s="287"/>
    </row>
    <row r="16" spans="1:7" ht="18.75" customHeight="1">
      <c r="A16" s="286"/>
      <c r="B16" s="318"/>
      <c r="C16" s="319" t="s">
        <v>611</v>
      </c>
      <c r="D16" s="874" t="s">
        <v>612</v>
      </c>
      <c r="E16" s="346"/>
      <c r="F16" s="320" t="s">
        <v>613</v>
      </c>
      <c r="G16" s="287"/>
    </row>
    <row r="17" spans="1:7" ht="11.25" customHeight="1">
      <c r="A17" s="286"/>
      <c r="B17" s="508"/>
      <c r="C17" s="353"/>
      <c r="D17" s="353"/>
      <c r="E17" s="353"/>
      <c r="F17" s="353"/>
      <c r="G17" s="287"/>
    </row>
    <row r="18" spans="1:7" ht="18.75" customHeight="1">
      <c r="A18" s="286"/>
      <c r="B18" s="501"/>
      <c r="C18" s="353"/>
      <c r="D18" s="353"/>
      <c r="E18" s="353"/>
      <c r="F18" s="353"/>
      <c r="G18" s="287"/>
    </row>
    <row r="19" spans="1:7" ht="22.5" customHeight="1">
      <c r="A19" s="286"/>
      <c r="B19" s="31" t="s">
        <v>45</v>
      </c>
      <c r="C19" s="459" t="s">
        <v>46</v>
      </c>
      <c r="D19" s="353"/>
      <c r="E19" s="353"/>
      <c r="F19" s="353"/>
      <c r="G19" s="287"/>
    </row>
    <row r="20" spans="1:7" ht="18.75" customHeight="1">
      <c r="A20" s="286"/>
      <c r="B20" s="875" t="s">
        <v>614</v>
      </c>
      <c r="C20" s="353"/>
      <c r="D20" s="321" t="s">
        <v>48</v>
      </c>
      <c r="E20" s="35">
        <v>1</v>
      </c>
      <c r="F20" s="322" t="s">
        <v>615</v>
      </c>
      <c r="G20" s="30"/>
    </row>
    <row r="21" spans="1:7" ht="18.75" customHeight="1">
      <c r="A21" s="286"/>
      <c r="B21" s="875" t="s">
        <v>616</v>
      </c>
      <c r="C21" s="353"/>
      <c r="D21" s="321" t="s">
        <v>48</v>
      </c>
      <c r="E21" s="35">
        <v>2</v>
      </c>
      <c r="F21" s="41" t="s">
        <v>617</v>
      </c>
      <c r="G21" s="30"/>
    </row>
    <row r="22" spans="1:7" ht="11.25" customHeight="1">
      <c r="A22" s="286"/>
      <c r="B22" s="508"/>
      <c r="C22" s="353"/>
      <c r="D22" s="353"/>
      <c r="E22" s="353"/>
      <c r="F22" s="353"/>
      <c r="G22" s="30"/>
    </row>
    <row r="23" spans="1:7" ht="18.75" customHeight="1">
      <c r="A23" s="27"/>
      <c r="B23" s="810"/>
      <c r="C23" s="353"/>
      <c r="D23" s="353"/>
      <c r="E23" s="353"/>
      <c r="F23" s="353"/>
      <c r="G23" s="289"/>
    </row>
    <row r="24" spans="1:7" ht="22.5" customHeight="1">
      <c r="A24" s="290"/>
      <c r="B24" s="665" t="str">
        <f>CONCATENATE(TEXT(SUMÁRIO!D7-0,"DD")," de ",TEXT(SUMÁRIO!D7-0,"MMMM")," - Abertura do Carrinho")</f>
        <v>24 de fevereiro - Abertura do Carrinho</v>
      </c>
      <c r="C24" s="594"/>
      <c r="D24" s="594"/>
      <c r="E24" s="594"/>
      <c r="F24" s="595"/>
      <c r="G24" s="291"/>
    </row>
    <row r="25" spans="1:7" ht="18.75" customHeight="1">
      <c r="A25" s="27"/>
      <c r="B25" s="296" t="b">
        <v>0</v>
      </c>
      <c r="C25" s="876" t="s">
        <v>618</v>
      </c>
      <c r="D25" s="877"/>
      <c r="E25" s="877"/>
      <c r="F25" s="878"/>
      <c r="G25" s="292"/>
    </row>
    <row r="26" spans="1:7" ht="11.25" customHeight="1">
      <c r="A26" s="27"/>
      <c r="B26" s="829"/>
      <c r="C26" s="599"/>
      <c r="D26" s="599"/>
      <c r="E26" s="599"/>
      <c r="F26" s="600"/>
      <c r="G26" s="292"/>
    </row>
    <row r="27" spans="1:7" ht="18.75" customHeight="1">
      <c r="A27" s="27"/>
      <c r="B27" s="830" t="s">
        <v>619</v>
      </c>
      <c r="C27" s="599"/>
      <c r="D27" s="599"/>
      <c r="E27" s="599"/>
      <c r="F27" s="600"/>
      <c r="G27" s="292"/>
    </row>
    <row r="28" spans="1:7" ht="18.75" customHeight="1">
      <c r="A28" s="27"/>
      <c r="B28" s="879" t="s">
        <v>620</v>
      </c>
      <c r="C28" s="599"/>
      <c r="D28" s="599"/>
      <c r="E28" s="880" t="s">
        <v>621</v>
      </c>
      <c r="F28" s="353"/>
      <c r="G28" s="292"/>
    </row>
    <row r="29" spans="1:7" ht="18.75" customHeight="1">
      <c r="A29" s="27"/>
      <c r="B29" s="297" t="b">
        <v>0</v>
      </c>
      <c r="C29" s="485" t="s">
        <v>622</v>
      </c>
      <c r="D29" s="345"/>
      <c r="E29" s="296" t="b">
        <v>0</v>
      </c>
      <c r="F29" s="16" t="s">
        <v>623</v>
      </c>
      <c r="G29" s="292"/>
    </row>
    <row r="30" spans="1:7" ht="18.75" customHeight="1">
      <c r="A30" s="27"/>
      <c r="B30" s="297" t="b">
        <v>0</v>
      </c>
      <c r="C30" s="485" t="s">
        <v>624</v>
      </c>
      <c r="D30" s="345"/>
      <c r="E30" s="296" t="b">
        <v>0</v>
      </c>
      <c r="F30" s="16" t="s">
        <v>625</v>
      </c>
      <c r="G30" s="292"/>
    </row>
    <row r="31" spans="1:7" ht="18.75" customHeight="1">
      <c r="A31" s="298"/>
      <c r="B31" s="323" t="b">
        <v>0</v>
      </c>
      <c r="C31" s="485" t="s">
        <v>626</v>
      </c>
      <c r="D31" s="345"/>
      <c r="E31" s="296" t="b">
        <v>0</v>
      </c>
      <c r="F31" s="16" t="s">
        <v>627</v>
      </c>
      <c r="G31" s="299"/>
    </row>
    <row r="32" spans="1:7" ht="11.25" customHeight="1">
      <c r="A32" s="27"/>
      <c r="B32" s="819"/>
      <c r="C32" s="353"/>
      <c r="D32" s="353"/>
      <c r="E32" s="353"/>
      <c r="F32" s="353"/>
      <c r="G32" s="292"/>
    </row>
    <row r="33" spans="1:7" ht="18.75" customHeight="1">
      <c r="A33" s="27"/>
      <c r="B33" s="323" t="b">
        <v>0</v>
      </c>
      <c r="C33" s="819" t="s">
        <v>628</v>
      </c>
      <c r="D33" s="353"/>
      <c r="E33" s="353"/>
      <c r="F33" s="353"/>
      <c r="G33" s="292"/>
    </row>
    <row r="34" spans="1:7" ht="11.25" customHeight="1">
      <c r="A34" s="27"/>
      <c r="B34" s="819"/>
      <c r="C34" s="353"/>
      <c r="D34" s="353"/>
      <c r="E34" s="353"/>
      <c r="F34" s="353"/>
      <c r="G34" s="292"/>
    </row>
    <row r="35" spans="1:7" ht="18.75" customHeight="1">
      <c r="A35" s="27"/>
      <c r="B35" s="822"/>
      <c r="C35" s="353"/>
      <c r="D35" s="353"/>
      <c r="E35" s="353"/>
      <c r="F35" s="353"/>
      <c r="G35" s="292"/>
    </row>
    <row r="36" spans="1:7" ht="22.5" customHeight="1">
      <c r="A36" s="290"/>
      <c r="B36" s="881" t="str">
        <f>CONCATENATE(TEXT(SUMÁRIO!D7,"DD")," de ",TEXT(SUMÁRIO!D7,"MMMM")," - Remarketing de Carrinho")</f>
        <v>24 de fevereiro - Remarketing de Carrinho</v>
      </c>
      <c r="C36" s="882"/>
      <c r="D36" s="882"/>
      <c r="E36" s="882"/>
      <c r="F36" s="882"/>
      <c r="G36" s="293"/>
    </row>
    <row r="37" spans="1:7" ht="18.75" customHeight="1">
      <c r="A37" s="27"/>
      <c r="B37" s="296" t="s">
        <v>226</v>
      </c>
      <c r="C37" s="883" t="s">
        <v>629</v>
      </c>
      <c r="D37" s="597"/>
      <c r="E37" s="597"/>
      <c r="F37" s="507"/>
      <c r="G37" s="292"/>
    </row>
    <row r="38" spans="1:7" ht="18.75" customHeight="1">
      <c r="A38" s="298"/>
      <c r="B38" s="296" t="b">
        <v>0</v>
      </c>
      <c r="C38" s="884" t="s">
        <v>630</v>
      </c>
      <c r="D38" s="599"/>
      <c r="E38" s="599"/>
      <c r="F38" s="600"/>
      <c r="G38" s="299"/>
    </row>
    <row r="39" spans="1:7" ht="11.25" customHeight="1">
      <c r="A39" s="27"/>
      <c r="B39" s="825"/>
      <c r="C39" s="353"/>
      <c r="D39" s="353"/>
      <c r="E39" s="353"/>
      <c r="F39" s="353"/>
      <c r="G39" s="292"/>
    </row>
    <row r="40" spans="1:7" ht="18.75" customHeight="1">
      <c r="A40" s="27"/>
      <c r="B40" s="810"/>
      <c r="C40" s="353"/>
      <c r="D40" s="353"/>
      <c r="E40" s="353"/>
      <c r="F40" s="353"/>
      <c r="G40" s="289"/>
    </row>
    <row r="41" spans="1:7" ht="22.5" customHeight="1">
      <c r="A41" s="27"/>
      <c r="B41" s="857" t="str">
        <f>CONCATENATE(TEXT(SUMÁRIO!D7,"DD")," de ",TEXT(SUMÁRIO!D7,"MMMM")," - Conteúdo de Lançamento")</f>
        <v>24 de fevereiro - Conteúdo de Lançamento</v>
      </c>
      <c r="C41" s="353"/>
      <c r="D41" s="353"/>
      <c r="E41" s="353"/>
      <c r="F41" s="353"/>
      <c r="G41" s="289"/>
    </row>
    <row r="42" spans="1:7" ht="18.75" customHeight="1">
      <c r="A42" s="27"/>
      <c r="B42" s="296" t="b">
        <v>0</v>
      </c>
      <c r="C42" s="656" t="s">
        <v>631</v>
      </c>
      <c r="D42" s="353"/>
      <c r="E42" s="353"/>
      <c r="F42" s="353"/>
      <c r="G42" s="289"/>
    </row>
    <row r="43" spans="1:7" ht="11.25" customHeight="1">
      <c r="A43" s="27"/>
      <c r="B43" s="885"/>
      <c r="C43" s="353"/>
      <c r="D43" s="353"/>
      <c r="E43" s="353"/>
      <c r="F43" s="353"/>
      <c r="G43" s="289"/>
    </row>
    <row r="44" spans="1:7" ht="18.75" customHeight="1">
      <c r="A44" s="27"/>
      <c r="B44" s="886"/>
      <c r="C44" s="353"/>
      <c r="D44" s="353"/>
      <c r="E44" s="353"/>
      <c r="F44" s="353"/>
      <c r="G44" s="289"/>
    </row>
    <row r="45" spans="1:7" ht="22.5" customHeight="1">
      <c r="A45" s="27"/>
      <c r="B45" s="665" t="str">
        <f>CONCATENATE(TEXT(SUMÁRIO!D7+1,"DD")," de ",TEXT(SUMÁRIO!D7+1,"MMMM")," - Recuperação de Vendas")</f>
        <v>25 de fevereiro - Recuperação de Vendas</v>
      </c>
      <c r="C45" s="594"/>
      <c r="D45" s="594"/>
      <c r="E45" s="594"/>
      <c r="F45" s="595"/>
      <c r="G45" s="289"/>
    </row>
    <row r="46" spans="1:7" ht="12.75">
      <c r="A46" s="30"/>
      <c r="B46" s="848" t="s">
        <v>632</v>
      </c>
      <c r="C46" s="353"/>
      <c r="D46" s="353"/>
      <c r="E46" s="353"/>
      <c r="F46" s="353"/>
      <c r="G46" s="30"/>
    </row>
    <row r="47" spans="1:7" ht="18.75" customHeight="1">
      <c r="A47" s="30"/>
      <c r="B47" s="324" t="s">
        <v>184</v>
      </c>
      <c r="C47" s="661" t="s">
        <v>633</v>
      </c>
      <c r="D47" s="353"/>
      <c r="E47" s="353"/>
      <c r="F47" s="353"/>
      <c r="G47" s="30"/>
    </row>
    <row r="48" spans="1:7" ht="18.75" customHeight="1">
      <c r="A48" s="27"/>
      <c r="B48" s="324" t="s">
        <v>84</v>
      </c>
      <c r="C48" s="887" t="s">
        <v>634</v>
      </c>
      <c r="D48" s="353"/>
      <c r="E48" s="353"/>
      <c r="F48" s="353"/>
      <c r="G48" s="308"/>
    </row>
    <row r="49" spans="1:7" ht="18.75" customHeight="1">
      <c r="A49" s="27"/>
      <c r="B49" s="888" t="str">
        <f>CONCATENATE("💡 Você deverá seguir com a recuperação de vendas até o fechamento do carrinho, dia ",TEXT(SUMÁRIO!D7+4,"DD/MM"))</f>
        <v>💡 Você deverá seguir com a recuperação de vendas até o fechamento do carrinho, dia 28/02</v>
      </c>
      <c r="C49" s="599"/>
      <c r="D49" s="599"/>
      <c r="E49" s="599"/>
      <c r="F49" s="600"/>
      <c r="G49" s="325"/>
    </row>
    <row r="50" spans="1:7" ht="11.25" customHeight="1">
      <c r="A50" s="27"/>
      <c r="B50" s="889"/>
      <c r="C50" s="353"/>
      <c r="D50" s="353"/>
      <c r="E50" s="353"/>
      <c r="F50" s="353"/>
      <c r="G50" s="308"/>
    </row>
    <row r="51" spans="1:7" ht="18.75" customHeight="1">
      <c r="A51" s="27"/>
      <c r="B51" s="826" t="s">
        <v>635</v>
      </c>
      <c r="C51" s="353"/>
      <c r="D51" s="353"/>
      <c r="E51" s="353"/>
      <c r="F51" s="353"/>
      <c r="G51" s="292"/>
    </row>
    <row r="52" spans="1:7" ht="15.4">
      <c r="A52" s="27"/>
      <c r="B52" s="327" t="b">
        <v>0</v>
      </c>
      <c r="C52" s="397" t="s">
        <v>636</v>
      </c>
      <c r="D52" s="353"/>
      <c r="E52" s="353"/>
      <c r="F52" s="353"/>
      <c r="G52" s="292"/>
    </row>
    <row r="53" spans="1:7" ht="11.25" customHeight="1">
      <c r="A53" s="27"/>
      <c r="B53" s="397"/>
      <c r="C53" s="353"/>
      <c r="D53" s="353"/>
      <c r="E53" s="353"/>
      <c r="F53" s="353"/>
      <c r="G53" s="292"/>
    </row>
    <row r="54" spans="1:7" ht="18.75" customHeight="1">
      <c r="A54" s="27"/>
      <c r="B54" s="565" t="s">
        <v>637</v>
      </c>
      <c r="C54" s="353"/>
      <c r="D54" s="353"/>
      <c r="E54" s="353"/>
      <c r="F54" s="353"/>
      <c r="G54" s="308"/>
    </row>
    <row r="55" spans="1:7" ht="18.75" customHeight="1">
      <c r="A55" s="27"/>
      <c r="B55" s="326" t="b">
        <v>0</v>
      </c>
      <c r="C55" s="678" t="s">
        <v>638</v>
      </c>
      <c r="D55" s="353"/>
      <c r="E55" s="353"/>
      <c r="F55" s="353"/>
      <c r="G55" s="308"/>
    </row>
    <row r="56" spans="1:7" ht="18.75" customHeight="1">
      <c r="A56" s="27"/>
      <c r="B56" s="327" t="b">
        <v>0</v>
      </c>
      <c r="C56" s="598" t="s">
        <v>639</v>
      </c>
      <c r="D56" s="599"/>
      <c r="E56" s="599"/>
      <c r="F56" s="600"/>
      <c r="G56" s="308"/>
    </row>
    <row r="57" spans="1:7" ht="18.75" customHeight="1">
      <c r="A57" s="27"/>
      <c r="B57" s="327" t="b">
        <v>0</v>
      </c>
      <c r="C57" s="598" t="s">
        <v>640</v>
      </c>
      <c r="D57" s="599"/>
      <c r="E57" s="599"/>
      <c r="F57" s="600"/>
      <c r="G57" s="308"/>
    </row>
    <row r="58" spans="1:7" ht="18.75" customHeight="1">
      <c r="A58" s="27"/>
      <c r="B58" s="328" t="s">
        <v>184</v>
      </c>
      <c r="C58" s="870" t="s">
        <v>641</v>
      </c>
      <c r="D58" s="353"/>
      <c r="E58" s="353"/>
      <c r="F58" s="353"/>
      <c r="G58" s="325"/>
    </row>
    <row r="59" spans="1:7" ht="11.25" customHeight="1">
      <c r="A59" s="27"/>
      <c r="B59" s="825"/>
      <c r="C59" s="353"/>
      <c r="D59" s="353"/>
      <c r="E59" s="353"/>
      <c r="F59" s="353"/>
      <c r="G59" s="292"/>
    </row>
    <row r="60" spans="1:7" ht="18.75" customHeight="1">
      <c r="A60" s="27"/>
      <c r="B60" s="496"/>
      <c r="C60" s="353"/>
      <c r="D60" s="353"/>
      <c r="E60" s="353"/>
      <c r="F60" s="353"/>
      <c r="G60" s="289"/>
    </row>
    <row r="61" spans="1:7" ht="22.5" customHeight="1">
      <c r="A61" s="27"/>
      <c r="B61" s="390" t="str">
        <f>CONCATENATE(TEXT(SUMÁRIO!D7+1,"DD")," de ",TEXT(SUMÁRIO!D7+1,"MMMM")," - Conteúdo de Lançamento")</f>
        <v>25 de fevereiro - Conteúdo de Lançamento</v>
      </c>
      <c r="C61" s="353"/>
      <c r="D61" s="353"/>
      <c r="E61" s="353"/>
      <c r="F61" s="353"/>
      <c r="G61" s="289"/>
    </row>
    <row r="62" spans="1:7" ht="18.75" customHeight="1">
      <c r="A62" s="27"/>
      <c r="B62" s="128" t="b">
        <v>0</v>
      </c>
      <c r="C62" s="871" t="s">
        <v>565</v>
      </c>
      <c r="D62" s="345"/>
      <c r="E62" s="345"/>
      <c r="F62" s="346"/>
      <c r="G62" s="289"/>
    </row>
    <row r="63" spans="1:7" ht="18.75" customHeight="1">
      <c r="A63" s="27"/>
      <c r="B63" s="128" t="b">
        <v>0</v>
      </c>
      <c r="C63" s="388" t="s">
        <v>642</v>
      </c>
      <c r="D63" s="353"/>
      <c r="E63" s="353"/>
      <c r="F63" s="353"/>
      <c r="G63" s="289"/>
    </row>
    <row r="64" spans="1:7" ht="18.75" customHeight="1">
      <c r="A64" s="27"/>
      <c r="B64" s="128" t="b">
        <v>0</v>
      </c>
      <c r="C64" s="388" t="s">
        <v>643</v>
      </c>
      <c r="D64" s="353"/>
      <c r="E64" s="353"/>
      <c r="F64" s="353"/>
      <c r="G64" s="289"/>
    </row>
    <row r="65" spans="1:7" ht="11.25" customHeight="1">
      <c r="A65" s="27"/>
      <c r="B65" s="446"/>
      <c r="C65" s="353"/>
      <c r="D65" s="353"/>
      <c r="E65" s="353"/>
      <c r="F65" s="353"/>
      <c r="G65" s="289"/>
    </row>
    <row r="66" spans="1:7" ht="18.75" customHeight="1">
      <c r="A66" s="27"/>
      <c r="B66" s="496"/>
      <c r="C66" s="353"/>
      <c r="D66" s="353"/>
      <c r="E66" s="353"/>
      <c r="F66" s="353"/>
      <c r="G66" s="289"/>
    </row>
    <row r="67" spans="1:7" ht="22.5" customHeight="1">
      <c r="A67" s="27"/>
      <c r="B67" s="390" t="str">
        <f>CONCATENATE(TEXT(SUMÁRIO!D7+2,"DD")," de ",TEXT(SUMÁRIO!D7+2,"MMMM")," - Conteúdo de Lançamento")</f>
        <v>26 de fevereiro - Conteúdo de Lançamento</v>
      </c>
      <c r="C67" s="353"/>
      <c r="D67" s="353"/>
      <c r="E67" s="353"/>
      <c r="F67" s="353"/>
      <c r="G67" s="289"/>
    </row>
    <row r="68" spans="1:7" ht="18.75" customHeight="1">
      <c r="A68" s="27"/>
      <c r="B68" s="329" t="b">
        <v>0</v>
      </c>
      <c r="C68" s="871" t="s">
        <v>565</v>
      </c>
      <c r="D68" s="345"/>
      <c r="E68" s="345"/>
      <c r="F68" s="346"/>
      <c r="G68" s="289"/>
    </row>
    <row r="69" spans="1:7" ht="18.75" customHeight="1">
      <c r="A69" s="27"/>
      <c r="B69" s="329" t="b">
        <v>0</v>
      </c>
      <c r="C69" s="388" t="s">
        <v>642</v>
      </c>
      <c r="D69" s="353"/>
      <c r="E69" s="353"/>
      <c r="F69" s="353"/>
      <c r="G69" s="289"/>
    </row>
    <row r="70" spans="1:7" ht="18.75" customHeight="1">
      <c r="A70" s="27"/>
      <c r="B70" s="329" t="b">
        <v>0</v>
      </c>
      <c r="C70" s="388" t="s">
        <v>643</v>
      </c>
      <c r="D70" s="353"/>
      <c r="E70" s="353"/>
      <c r="F70" s="353"/>
      <c r="G70" s="289"/>
    </row>
    <row r="71" spans="1:7" ht="11.25" customHeight="1">
      <c r="A71" s="27"/>
      <c r="B71" s="446"/>
      <c r="C71" s="353"/>
      <c r="D71" s="353"/>
      <c r="E71" s="353"/>
      <c r="F71" s="353"/>
      <c r="G71" s="289"/>
    </row>
    <row r="72" spans="1:7" ht="18.75" customHeight="1">
      <c r="A72" s="27"/>
      <c r="B72" s="860"/>
      <c r="C72" s="353"/>
      <c r="D72" s="353"/>
      <c r="E72" s="353"/>
      <c r="F72" s="353"/>
      <c r="G72" s="289"/>
    </row>
    <row r="73" spans="1:7" ht="22.5" customHeight="1">
      <c r="A73" s="27"/>
      <c r="B73" s="390" t="str">
        <f>CONCATENATE(TEXT(SUMÁRIO!D7+3,"DD")," de ",TEXT(SUMÁRIO!D7+3,"MMMM")," - Conteúdo de Carrinho Aberto")</f>
        <v>27 de fevereiro - Conteúdo de Carrinho Aberto</v>
      </c>
      <c r="C73" s="353"/>
      <c r="D73" s="353"/>
      <c r="E73" s="353"/>
      <c r="F73" s="353"/>
      <c r="G73" s="289"/>
    </row>
    <row r="74" spans="1:7" ht="18.75" customHeight="1">
      <c r="A74" s="27"/>
      <c r="B74" s="128" t="b">
        <v>0</v>
      </c>
      <c r="C74" s="485" t="s">
        <v>565</v>
      </c>
      <c r="D74" s="345"/>
      <c r="E74" s="345"/>
      <c r="F74" s="346"/>
      <c r="G74" s="289"/>
    </row>
    <row r="75" spans="1:7" ht="18.75" customHeight="1">
      <c r="A75" s="27"/>
      <c r="B75" s="306" t="b">
        <v>0</v>
      </c>
      <c r="C75" s="579" t="s">
        <v>644</v>
      </c>
      <c r="D75" s="345"/>
      <c r="E75" s="345"/>
      <c r="F75" s="346"/>
      <c r="G75" s="289"/>
    </row>
    <row r="76" spans="1:7" ht="18.75" customHeight="1">
      <c r="A76" s="27"/>
      <c r="B76" s="306" t="b">
        <v>0</v>
      </c>
      <c r="C76" s="388" t="s">
        <v>643</v>
      </c>
      <c r="D76" s="353"/>
      <c r="E76" s="353"/>
      <c r="F76" s="353"/>
      <c r="G76" s="289"/>
    </row>
    <row r="77" spans="1:7" ht="11.25" customHeight="1">
      <c r="A77" s="27"/>
      <c r="B77" s="446"/>
      <c r="C77" s="353"/>
      <c r="D77" s="353"/>
      <c r="E77" s="353"/>
      <c r="F77" s="353"/>
      <c r="G77" s="289"/>
    </row>
    <row r="78" spans="1:7" ht="22.5" customHeight="1">
      <c r="A78" s="27"/>
      <c r="B78" s="496"/>
      <c r="C78" s="353"/>
      <c r="D78" s="353"/>
      <c r="E78" s="353"/>
      <c r="F78" s="353"/>
      <c r="G78" s="289"/>
    </row>
    <row r="79" spans="1:7" ht="22.5" customHeight="1">
      <c r="A79" s="27"/>
      <c r="B79" s="857" t="str">
        <f>CONCATENATE(TEXT(SUMÁRIO!D7+4,"DD")," de ",TEXT(SUMÁRIO!D7+4,"MMMM")," - Disparos Fechamento de Carrinho")</f>
        <v>28 de fevereiro - Disparos Fechamento de Carrinho</v>
      </c>
      <c r="C79" s="353"/>
      <c r="D79" s="353"/>
      <c r="E79" s="353"/>
      <c r="F79" s="465"/>
      <c r="G79" s="289"/>
    </row>
    <row r="80" spans="1:7" ht="18.75" customHeight="1">
      <c r="A80" s="27"/>
      <c r="B80" s="69" t="b">
        <v>0</v>
      </c>
      <c r="C80" s="485" t="s">
        <v>645</v>
      </c>
      <c r="D80" s="345"/>
      <c r="E80" s="345"/>
      <c r="F80" s="346"/>
      <c r="G80" s="289"/>
    </row>
    <row r="81" spans="1:7" ht="18.75" customHeight="1">
      <c r="A81" s="27"/>
      <c r="B81" s="69" t="b">
        <v>0</v>
      </c>
      <c r="C81" s="485" t="s">
        <v>646</v>
      </c>
      <c r="D81" s="345"/>
      <c r="E81" s="345"/>
      <c r="F81" s="346"/>
      <c r="G81" s="289"/>
    </row>
    <row r="82" spans="1:7" ht="18.75" customHeight="1">
      <c r="A82" s="27"/>
      <c r="B82" s="69" t="b">
        <v>0</v>
      </c>
      <c r="C82" s="485" t="s">
        <v>647</v>
      </c>
      <c r="D82" s="345"/>
      <c r="E82" s="345"/>
      <c r="F82" s="346"/>
      <c r="G82" s="289"/>
    </row>
    <row r="83" spans="1:7" ht="18.75" customHeight="1">
      <c r="A83" s="27"/>
      <c r="B83" s="69" t="b">
        <v>0</v>
      </c>
      <c r="C83" s="485" t="s">
        <v>648</v>
      </c>
      <c r="D83" s="345"/>
      <c r="E83" s="345"/>
      <c r="F83" s="346"/>
      <c r="G83" s="289"/>
    </row>
    <row r="84" spans="1:7" ht="11.25" customHeight="1">
      <c r="A84" s="27"/>
      <c r="B84" s="357"/>
      <c r="C84" s="345"/>
      <c r="D84" s="345"/>
      <c r="E84" s="345"/>
      <c r="F84" s="346"/>
      <c r="G84" s="289"/>
    </row>
    <row r="85" spans="1:7" ht="18.75" customHeight="1">
      <c r="A85" s="27"/>
      <c r="B85" s="496"/>
      <c r="C85" s="353"/>
      <c r="D85" s="353"/>
      <c r="E85" s="353"/>
      <c r="F85" s="353"/>
      <c r="G85" s="289"/>
    </row>
    <row r="86" spans="1:7" ht="22.5" customHeight="1">
      <c r="A86" s="27"/>
      <c r="B86" s="390" t="str">
        <f>CONCATENATE(TEXT(SUMÁRIO!D7+4,"DD")," de ",TEXT(SUMÁRIO!D7+4,"MMMM")," - Conteúdo de Carrinho Aberto")</f>
        <v>28 de fevereiro - Conteúdo de Carrinho Aberto</v>
      </c>
      <c r="C86" s="353"/>
      <c r="D86" s="353"/>
      <c r="E86" s="353"/>
      <c r="F86" s="353"/>
      <c r="G86" s="289"/>
    </row>
    <row r="87" spans="1:7" ht="18.75" customHeight="1">
      <c r="A87" s="27"/>
      <c r="B87" s="128" t="b">
        <v>0</v>
      </c>
      <c r="C87" s="485" t="s">
        <v>565</v>
      </c>
      <c r="D87" s="345"/>
      <c r="E87" s="345"/>
      <c r="F87" s="346"/>
      <c r="G87" s="289"/>
    </row>
    <row r="88" spans="1:7" ht="18.75" customHeight="1">
      <c r="A88" s="27"/>
      <c r="B88" s="78" t="b">
        <v>0</v>
      </c>
      <c r="C88" s="388" t="s">
        <v>643</v>
      </c>
      <c r="D88" s="353"/>
      <c r="E88" s="353"/>
      <c r="F88" s="353"/>
      <c r="G88" s="289"/>
    </row>
    <row r="89" spans="1:7" ht="11.25" customHeight="1">
      <c r="A89" s="27"/>
      <c r="B89" s="446"/>
      <c r="C89" s="353"/>
      <c r="D89" s="353"/>
      <c r="E89" s="353"/>
      <c r="F89" s="353"/>
      <c r="G89" s="289"/>
    </row>
    <row r="90" spans="1:7" ht="26.25" customHeight="1">
      <c r="A90" s="27"/>
      <c r="B90" s="496"/>
      <c r="C90" s="353"/>
      <c r="D90" s="353"/>
      <c r="E90" s="353"/>
      <c r="F90" s="353"/>
      <c r="G90" s="289"/>
    </row>
  </sheetData>
  <mergeCells count="89">
    <mergeCell ref="C47:F47"/>
    <mergeCell ref="C48:F48"/>
    <mergeCell ref="B49:F49"/>
    <mergeCell ref="B50:F50"/>
    <mergeCell ref="C42:F42"/>
    <mergeCell ref="B43:F43"/>
    <mergeCell ref="B44:F44"/>
    <mergeCell ref="B45:F45"/>
    <mergeCell ref="B46:F46"/>
    <mergeCell ref="C37:F37"/>
    <mergeCell ref="C38:F38"/>
    <mergeCell ref="B39:F39"/>
    <mergeCell ref="B40:F40"/>
    <mergeCell ref="B41:F41"/>
    <mergeCell ref="B32:F32"/>
    <mergeCell ref="C33:F33"/>
    <mergeCell ref="B34:F34"/>
    <mergeCell ref="B35:F35"/>
    <mergeCell ref="B36:F36"/>
    <mergeCell ref="B28:D28"/>
    <mergeCell ref="E28:F28"/>
    <mergeCell ref="C29:D29"/>
    <mergeCell ref="C30:D30"/>
    <mergeCell ref="C31:D31"/>
    <mergeCell ref="B23:F23"/>
    <mergeCell ref="B24:F24"/>
    <mergeCell ref="C25:F25"/>
    <mergeCell ref="B26:F26"/>
    <mergeCell ref="B27:F27"/>
    <mergeCell ref="B18:F18"/>
    <mergeCell ref="C19:F19"/>
    <mergeCell ref="B20:C20"/>
    <mergeCell ref="B21:C21"/>
    <mergeCell ref="B22:F22"/>
    <mergeCell ref="B13:F13"/>
    <mergeCell ref="C14:F14"/>
    <mergeCell ref="B15:F15"/>
    <mergeCell ref="D16:E16"/>
    <mergeCell ref="B17:F17"/>
    <mergeCell ref="C8:F8"/>
    <mergeCell ref="B9:F9"/>
    <mergeCell ref="B10:F10"/>
    <mergeCell ref="B11:F11"/>
    <mergeCell ref="B12:F12"/>
    <mergeCell ref="A1:G1"/>
    <mergeCell ref="A2:G2"/>
    <mergeCell ref="B3:B5"/>
    <mergeCell ref="C4:F4"/>
    <mergeCell ref="B7:D7"/>
    <mergeCell ref="C88:F88"/>
    <mergeCell ref="B89:F89"/>
    <mergeCell ref="B90:F90"/>
    <mergeCell ref="B79:F79"/>
    <mergeCell ref="C80:F80"/>
    <mergeCell ref="C81:F81"/>
    <mergeCell ref="C82:F82"/>
    <mergeCell ref="C83:F83"/>
    <mergeCell ref="B84:F84"/>
    <mergeCell ref="B85:F85"/>
    <mergeCell ref="C76:F76"/>
    <mergeCell ref="B77:F77"/>
    <mergeCell ref="B78:F78"/>
    <mergeCell ref="B86:F86"/>
    <mergeCell ref="C87:F87"/>
    <mergeCell ref="B71:F71"/>
    <mergeCell ref="B72:F72"/>
    <mergeCell ref="B73:F73"/>
    <mergeCell ref="C74:F74"/>
    <mergeCell ref="C75:F75"/>
    <mergeCell ref="B66:F66"/>
    <mergeCell ref="B67:F67"/>
    <mergeCell ref="C68:F68"/>
    <mergeCell ref="C69:F69"/>
    <mergeCell ref="C70:F70"/>
    <mergeCell ref="B61:F61"/>
    <mergeCell ref="C62:F62"/>
    <mergeCell ref="C63:F63"/>
    <mergeCell ref="C64:F64"/>
    <mergeCell ref="B65:F65"/>
    <mergeCell ref="C56:F56"/>
    <mergeCell ref="C57:F57"/>
    <mergeCell ref="C58:F58"/>
    <mergeCell ref="B59:F59"/>
    <mergeCell ref="B60:F60"/>
    <mergeCell ref="B51:F51"/>
    <mergeCell ref="C52:F52"/>
    <mergeCell ref="B53:F53"/>
    <mergeCell ref="B54:F54"/>
    <mergeCell ref="C55:F55"/>
  </mergeCells>
  <hyperlinks>
    <hyperlink ref="F16" r:id="rId1" xr:uid="{00000000-0004-0000-0600-000000000000}"/>
    <hyperlink ref="F20" r:id="rId2" xr:uid="{00000000-0004-0000-0600-000001000000}"/>
    <hyperlink ref="C47" location="'Lançamento'!B20:C20" display="Acesse o documento 1, listado em &quot;Documentos Necessários&quot; no início desta seção" xr:uid="{00000000-0004-0000-0600-000002000000}"/>
    <hyperlink ref="C48" location="'Lançamento'!C16" display="Material Complementar - Palestra Recuperação de Vendas " xr:uid="{00000000-0004-0000-0600-000003000000}"/>
    <hyperlink ref="C58" location="'Lançamento'!F21" display="Acesse o documento 2, listado em &quot;Documentos Necessários&quot; no início desta seção" xr:uid="{00000000-0004-0000-0600-000004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4C2F4"/>
    <outlinePr summaryBelow="0" summaryRight="0"/>
    <pageSetUpPr fitToPage="1"/>
  </sheetPr>
  <dimension ref="A1:G39"/>
  <sheetViews>
    <sheetView workbookViewId="0">
      <pane ySplit="6" topLeftCell="A7" activePane="bottomLeft" state="frozen"/>
      <selection pane="bottomLeft" activeCell="B8" sqref="B8"/>
    </sheetView>
  </sheetViews>
  <sheetFormatPr defaultColWidth="12.59765625" defaultRowHeight="15.75" customHeight="1"/>
  <cols>
    <col min="1" max="1" width="4.3984375" customWidth="1"/>
    <col min="2" max="2" width="3.73046875" customWidth="1"/>
    <col min="3" max="3" width="61.1328125" customWidth="1"/>
    <col min="4" max="4" width="7.265625" customWidth="1"/>
    <col min="5" max="5" width="3.73046875" customWidth="1"/>
    <col min="6" max="6" width="61.1328125" customWidth="1"/>
    <col min="7" max="7" width="4.3984375" customWidth="1"/>
  </cols>
  <sheetData>
    <row r="1" spans="1:7" ht="41.25" customHeight="1">
      <c r="A1" s="890" t="str">
        <f>CONCATENATE("Pós-Lançamento - ",TEXT(SUMÁRIO!$D$7+5,"DD/MM")," até ",TEXT(SUMÁRIO!$D$7+6,"DD/MM"),)</f>
        <v>Pós-Lançamento - 01/03 até 02/03</v>
      </c>
      <c r="B1" s="339"/>
      <c r="C1" s="339"/>
      <c r="D1" s="339"/>
      <c r="E1" s="339"/>
      <c r="F1" s="339"/>
      <c r="G1" s="340"/>
    </row>
    <row r="2" spans="1:7" ht="12.75">
      <c r="A2" s="636" t="s">
        <v>44</v>
      </c>
      <c r="B2" s="339"/>
      <c r="C2" s="339"/>
      <c r="D2" s="339"/>
      <c r="E2" s="339"/>
      <c r="F2" s="339"/>
      <c r="G2" s="340"/>
    </row>
    <row r="3" spans="1:7" ht="6" customHeight="1">
      <c r="A3" s="19"/>
      <c r="B3" s="455">
        <f>(COUNTIF(B8:B39,TRUE)/6)</f>
        <v>0</v>
      </c>
      <c r="C3" s="20"/>
      <c r="D3" s="23"/>
      <c r="E3" s="23"/>
      <c r="F3" s="23"/>
      <c r="G3" s="23"/>
    </row>
    <row r="4" spans="1:7" ht="6" customHeight="1">
      <c r="A4" s="19"/>
      <c r="B4" s="456"/>
      <c r="C4" s="891" t="str">
        <f ca="1">IFERROR(__xludf.DUMMYFUNCTION("SPARKLINE(B3,{""charttype"",""bar"";""color1"",""#38a036"";""max"",1})"),"")</f>
        <v/>
      </c>
      <c r="D4" s="339"/>
      <c r="E4" s="339"/>
      <c r="F4" s="340"/>
      <c r="G4" s="25"/>
    </row>
    <row r="5" spans="1:7" ht="6" customHeight="1">
      <c r="A5" s="19"/>
      <c r="B5" s="457"/>
      <c r="C5" s="330"/>
      <c r="D5" s="330"/>
      <c r="E5" s="330"/>
      <c r="F5" s="330"/>
      <c r="G5" s="25"/>
    </row>
    <row r="6" spans="1:7" ht="6" customHeight="1">
      <c r="A6" s="19"/>
      <c r="B6" s="93"/>
      <c r="C6" s="20"/>
      <c r="D6" s="23"/>
      <c r="E6" s="23"/>
      <c r="F6" s="23"/>
      <c r="G6" s="23"/>
    </row>
    <row r="7" spans="1:7" ht="22.5" customHeight="1">
      <c r="A7" s="141"/>
      <c r="B7" s="892"/>
      <c r="C7" s="342"/>
      <c r="D7" s="342"/>
      <c r="E7" s="342"/>
      <c r="F7" s="343"/>
      <c r="G7" s="30"/>
    </row>
    <row r="8" spans="1:7" ht="22.5" customHeight="1">
      <c r="A8" s="27"/>
      <c r="B8" s="10"/>
      <c r="C8" s="489" t="s">
        <v>161</v>
      </c>
      <c r="D8" s="353"/>
      <c r="E8" s="353"/>
      <c r="F8" s="353"/>
      <c r="G8" s="331"/>
    </row>
    <row r="9" spans="1:7" ht="18.75" customHeight="1">
      <c r="A9" s="27"/>
      <c r="B9" s="893" t="s">
        <v>649</v>
      </c>
      <c r="C9" s="353"/>
      <c r="D9" s="353"/>
      <c r="E9" s="353"/>
      <c r="F9" s="353"/>
      <c r="G9" s="332"/>
    </row>
    <row r="10" spans="1:7" ht="18.75" customHeight="1">
      <c r="A10" s="27"/>
      <c r="B10" s="394"/>
      <c r="C10" s="394"/>
      <c r="D10" s="394"/>
      <c r="E10" s="394"/>
      <c r="F10" s="394"/>
      <c r="G10" s="332"/>
    </row>
    <row r="11" spans="1:7" ht="11.25" customHeight="1">
      <c r="A11" s="27"/>
      <c r="B11" s="894"/>
      <c r="C11" s="353"/>
      <c r="D11" s="353"/>
      <c r="E11" s="353"/>
      <c r="F11" s="353"/>
      <c r="G11" s="332"/>
    </row>
    <row r="12" spans="1:7" ht="18.75" customHeight="1">
      <c r="A12" s="27"/>
      <c r="B12" s="895"/>
      <c r="C12" s="353"/>
      <c r="D12" s="353"/>
      <c r="E12" s="353"/>
      <c r="F12" s="353"/>
      <c r="G12" s="332"/>
    </row>
    <row r="13" spans="1:7" ht="22.5" customHeight="1">
      <c r="A13" s="27"/>
      <c r="B13" s="31" t="s">
        <v>45</v>
      </c>
      <c r="C13" s="459" t="s">
        <v>46</v>
      </c>
      <c r="D13" s="353"/>
      <c r="E13" s="353"/>
      <c r="F13" s="353"/>
      <c r="G13" s="332"/>
    </row>
    <row r="14" spans="1:7" ht="18.75">
      <c r="A14" s="27"/>
      <c r="B14" s="896" t="s">
        <v>650</v>
      </c>
      <c r="C14" s="353"/>
      <c r="D14" s="321" t="s">
        <v>48</v>
      </c>
      <c r="E14" s="35">
        <v>1</v>
      </c>
      <c r="F14" s="173" t="s">
        <v>651</v>
      </c>
      <c r="G14" s="332"/>
    </row>
    <row r="15" spans="1:7" ht="11.25" customHeight="1">
      <c r="A15" s="27"/>
      <c r="B15" s="894"/>
      <c r="C15" s="353"/>
      <c r="D15" s="353"/>
      <c r="E15" s="353"/>
      <c r="F15" s="353"/>
      <c r="G15" s="332"/>
    </row>
    <row r="16" spans="1:7" ht="18.75" customHeight="1">
      <c r="A16" s="27"/>
      <c r="B16" s="897"/>
      <c r="C16" s="339"/>
      <c r="D16" s="339"/>
      <c r="E16" s="339"/>
      <c r="F16" s="340"/>
      <c r="G16" s="332"/>
    </row>
    <row r="17" spans="1:7" ht="22.5" customHeight="1">
      <c r="A17" s="331"/>
      <c r="B17" s="898" t="str">
        <f>CONCATENATE(TEXT(SUMÁRIO!D7+5,"DD")," de ",TEXT(SUMÁRIO!D7+5,"MMMM")," - Fechamento de Carrinho")</f>
        <v>01 de março - Fechamento de Carrinho</v>
      </c>
      <c r="C17" s="536"/>
      <c r="D17" s="536"/>
      <c r="E17" s="536"/>
      <c r="F17" s="537"/>
      <c r="G17" s="331"/>
    </row>
    <row r="18" spans="1:7" ht="18.75" customHeight="1">
      <c r="A18" s="331"/>
      <c r="B18" s="314"/>
      <c r="C18" s="899" t="s">
        <v>652</v>
      </c>
      <c r="D18" s="353"/>
      <c r="E18" s="353"/>
      <c r="F18" s="353"/>
      <c r="G18" s="331"/>
    </row>
    <row r="19" spans="1:7" ht="11.25" customHeight="1">
      <c r="A19" s="331"/>
      <c r="B19" s="678"/>
      <c r="C19" s="353"/>
      <c r="D19" s="353"/>
      <c r="E19" s="353"/>
      <c r="F19" s="353"/>
      <c r="G19" s="331"/>
    </row>
    <row r="20" spans="1:7" ht="18.75" customHeight="1">
      <c r="A20" s="331"/>
      <c r="B20" s="69" t="b">
        <v>0</v>
      </c>
      <c r="C20" s="485" t="s">
        <v>653</v>
      </c>
      <c r="D20" s="345"/>
      <c r="E20" s="345"/>
      <c r="F20" s="346"/>
      <c r="G20" s="331"/>
    </row>
    <row r="21" spans="1:7" ht="18.75" customHeight="1">
      <c r="A21" s="331"/>
      <c r="B21" s="69" t="b">
        <v>0</v>
      </c>
      <c r="C21" s="485" t="s">
        <v>654</v>
      </c>
      <c r="D21" s="345"/>
      <c r="E21" s="345"/>
      <c r="F21" s="346"/>
      <c r="G21" s="333"/>
    </row>
    <row r="22" spans="1:7" ht="11.25" customHeight="1">
      <c r="A22" s="331"/>
      <c r="B22" s="357"/>
      <c r="C22" s="345"/>
      <c r="D22" s="345"/>
      <c r="E22" s="345"/>
      <c r="F22" s="346"/>
      <c r="G22" s="333"/>
    </row>
    <row r="23" spans="1:7" ht="18.75" customHeight="1">
      <c r="A23" s="331"/>
      <c r="B23" s="900" t="s">
        <v>655</v>
      </c>
      <c r="C23" s="345"/>
      <c r="D23" s="345"/>
      <c r="E23" s="345"/>
      <c r="F23" s="346"/>
      <c r="G23" s="333"/>
    </row>
    <row r="24" spans="1:7" ht="18.75" customHeight="1">
      <c r="A24" s="331"/>
      <c r="B24" s="69" t="b">
        <v>0</v>
      </c>
      <c r="C24" s="692" t="s">
        <v>656</v>
      </c>
      <c r="D24" s="345"/>
      <c r="E24" s="345"/>
      <c r="F24" s="346"/>
      <c r="G24" s="333"/>
    </row>
    <row r="25" spans="1:7" ht="18.75" customHeight="1">
      <c r="A25" s="331"/>
      <c r="B25" s="69" t="b">
        <v>0</v>
      </c>
      <c r="C25" s="485" t="s">
        <v>657</v>
      </c>
      <c r="D25" s="345"/>
      <c r="E25" s="345"/>
      <c r="F25" s="346"/>
      <c r="G25" s="333"/>
    </row>
    <row r="26" spans="1:7" ht="18.75" customHeight="1">
      <c r="A26" s="331"/>
      <c r="B26" s="69" t="b">
        <v>0</v>
      </c>
      <c r="C26" s="485" t="s">
        <v>658</v>
      </c>
      <c r="D26" s="345"/>
      <c r="E26" s="345"/>
      <c r="F26" s="346"/>
      <c r="G26" s="333"/>
    </row>
    <row r="27" spans="1:7" ht="11.25" customHeight="1">
      <c r="A27" s="331"/>
      <c r="B27" s="909"/>
      <c r="C27" s="345"/>
      <c r="D27" s="345"/>
      <c r="E27" s="345"/>
      <c r="F27" s="346"/>
      <c r="G27" s="333"/>
    </row>
    <row r="28" spans="1:7" ht="18.75" customHeight="1">
      <c r="A28" s="331"/>
      <c r="B28" s="910"/>
      <c r="C28" s="353"/>
      <c r="D28" s="353"/>
      <c r="E28" s="353"/>
      <c r="F28" s="360"/>
      <c r="G28" s="333"/>
    </row>
    <row r="29" spans="1:7" ht="22.5" customHeight="1">
      <c r="A29" s="331"/>
      <c r="B29" s="665" t="str">
        <f>CONCATENATE(TEXT(SUMÁRIO!D7+5,"DD")," de ",TEXT(SUMÁRIO!D7+5,"MMMM")," - Debriefing e Solicitação de Análise de Lançamento")</f>
        <v>01 de março - Debriefing e Solicitação de Análise de Lançamento</v>
      </c>
      <c r="C29" s="594"/>
      <c r="D29" s="594"/>
      <c r="E29" s="594"/>
      <c r="F29" s="595"/>
      <c r="G29" s="331"/>
    </row>
    <row r="30" spans="1:7" ht="18.75" customHeight="1">
      <c r="A30" s="334"/>
      <c r="B30" s="911" t="s">
        <v>659</v>
      </c>
      <c r="C30" s="394"/>
      <c r="D30" s="394"/>
      <c r="E30" s="394"/>
      <c r="F30" s="396"/>
      <c r="G30" s="334"/>
    </row>
    <row r="31" spans="1:7" ht="11.25" customHeight="1">
      <c r="A31" s="331"/>
      <c r="B31" s="335"/>
      <c r="C31" s="336"/>
      <c r="D31" s="337"/>
      <c r="E31" s="912"/>
      <c r="F31" s="469"/>
      <c r="G31" s="331"/>
    </row>
    <row r="32" spans="1:7" ht="18.75" customHeight="1">
      <c r="A32" s="332"/>
      <c r="B32" s="69" t="b">
        <v>0</v>
      </c>
      <c r="C32" s="901" t="s">
        <v>660</v>
      </c>
      <c r="D32" s="345"/>
      <c r="E32" s="345"/>
      <c r="F32" s="346"/>
      <c r="G32" s="332"/>
    </row>
    <row r="33" spans="1:7" ht="18.75" customHeight="1">
      <c r="A33" s="27"/>
      <c r="B33" s="69" t="b">
        <v>0</v>
      </c>
      <c r="C33" s="901" t="s">
        <v>661</v>
      </c>
      <c r="D33" s="345"/>
      <c r="E33" s="345"/>
      <c r="F33" s="346"/>
      <c r="G33" s="27"/>
    </row>
    <row r="34" spans="1:7" ht="18.75" customHeight="1">
      <c r="A34" s="331"/>
      <c r="B34" s="69" t="b">
        <v>0</v>
      </c>
      <c r="C34" s="856" t="s">
        <v>662</v>
      </c>
      <c r="D34" s="345"/>
      <c r="E34" s="345"/>
      <c r="F34" s="346"/>
      <c r="G34" s="331"/>
    </row>
    <row r="35" spans="1:7" ht="18.75" customHeight="1">
      <c r="A35" s="331"/>
      <c r="B35" s="69" t="b">
        <v>0</v>
      </c>
      <c r="C35" s="485" t="s">
        <v>663</v>
      </c>
      <c r="D35" s="345"/>
      <c r="E35" s="345"/>
      <c r="F35" s="346"/>
      <c r="G35" s="331"/>
    </row>
    <row r="36" spans="1:7" ht="11.25" customHeight="1">
      <c r="A36" s="331"/>
      <c r="B36" s="902"/>
      <c r="C36" s="394"/>
      <c r="D36" s="394"/>
      <c r="E36" s="394"/>
      <c r="F36" s="396"/>
      <c r="G36" s="331"/>
    </row>
    <row r="37" spans="1:7" ht="18.75" customHeight="1">
      <c r="A37" s="28"/>
      <c r="B37" s="496"/>
      <c r="C37" s="353"/>
      <c r="D37" s="353"/>
      <c r="E37" s="353"/>
      <c r="F37" s="353"/>
      <c r="G37" s="28"/>
    </row>
    <row r="38" spans="1:7" ht="22.5" customHeight="1">
      <c r="A38" s="903" t="s">
        <v>664</v>
      </c>
      <c r="B38" s="904"/>
      <c r="C38" s="904"/>
      <c r="D38" s="904"/>
      <c r="E38" s="904"/>
      <c r="F38" s="904"/>
      <c r="G38" s="905"/>
    </row>
    <row r="39" spans="1:7" ht="26.25" customHeight="1">
      <c r="A39" s="906"/>
      <c r="B39" s="907"/>
      <c r="C39" s="907"/>
      <c r="D39" s="907"/>
      <c r="E39" s="907"/>
      <c r="F39" s="907"/>
      <c r="G39" s="908"/>
    </row>
  </sheetData>
  <mergeCells count="36">
    <mergeCell ref="B36:F36"/>
    <mergeCell ref="B37:F37"/>
    <mergeCell ref="A38:G38"/>
    <mergeCell ref="A39:G39"/>
    <mergeCell ref="C25:F25"/>
    <mergeCell ref="C26:F26"/>
    <mergeCell ref="B27:F27"/>
    <mergeCell ref="B28:F28"/>
    <mergeCell ref="B29:F29"/>
    <mergeCell ref="B30:F30"/>
    <mergeCell ref="E31:F31"/>
    <mergeCell ref="C24:F24"/>
    <mergeCell ref="C32:F32"/>
    <mergeCell ref="C33:F33"/>
    <mergeCell ref="C34:F34"/>
    <mergeCell ref="C35:F35"/>
    <mergeCell ref="B19:F19"/>
    <mergeCell ref="C20:F20"/>
    <mergeCell ref="C21:F21"/>
    <mergeCell ref="B22:F22"/>
    <mergeCell ref="B23:F23"/>
    <mergeCell ref="B14:C14"/>
    <mergeCell ref="B15:F15"/>
    <mergeCell ref="B16:F16"/>
    <mergeCell ref="B17:F17"/>
    <mergeCell ref="C18:F18"/>
    <mergeCell ref="C8:F8"/>
    <mergeCell ref="B9:F10"/>
    <mergeCell ref="B11:F11"/>
    <mergeCell ref="B12:F12"/>
    <mergeCell ref="C13:F13"/>
    <mergeCell ref="A1:G1"/>
    <mergeCell ref="A2:G2"/>
    <mergeCell ref="B3:B5"/>
    <mergeCell ref="C4:F4"/>
    <mergeCell ref="B7:F7"/>
  </mergeCells>
  <hyperlinks>
    <hyperlink ref="C18" location="'Pós-Lançamento'!F14" display="Acesse o documento 1, listado no início desta seção. " xr:uid="{00000000-0004-0000-0700-000000000000}"/>
    <hyperlink ref="C24" r:id="rId1" xr:uid="{00000000-0004-0000-0700-000001000000}"/>
    <hyperlink ref="C32" r:id="rId2" xr:uid="{00000000-0004-0000-0700-000002000000}"/>
    <hyperlink ref="C33" r:id="rId3" xr:uid="{00000000-0004-0000-0700-000003000000}"/>
    <hyperlink ref="C34" r:id="rId4" xr:uid="{00000000-0004-0000-0700-000004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SUMÁRIO</vt:lpstr>
      <vt:lpstr>PRÉ-REQUISITOS</vt:lpstr>
      <vt:lpstr>Preparação</vt:lpstr>
      <vt:lpstr>CLI e AI</vt:lpstr>
      <vt:lpstr>Cópia de SEMANA 02 - CLI e AI I</vt:lpstr>
      <vt:lpstr>Pré-lançamento</vt:lpstr>
      <vt:lpstr>Lançamento</vt:lpstr>
      <vt:lpstr>Pós-Lançamento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Fabiana Van Ende</cp:lastModifiedBy>
  <dcterms:modified xsi:type="dcterms:W3CDTF">2026-03-03T00:04:04Z</dcterms:modified>
</cp:coreProperties>
</file>